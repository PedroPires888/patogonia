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5008\Downloads\"/>
    </mc:Choice>
  </mc:AlternateContent>
  <xr:revisionPtr revIDLastSave="0" documentId="13_ncr:1_{E55F96B7-057D-414D-95DC-58C90B774DF9}" xr6:coauthVersionLast="47" xr6:coauthVersionMax="47" xr10:uidLastSave="{00000000-0000-0000-0000-000000000000}"/>
  <bookViews>
    <workbookView xWindow="-110" yWindow="-110" windowWidth="25820" windowHeight="15500" xr2:uid="{9D2F7FD7-9B06-4E21-AF36-CC99A95132FD}"/>
  </bookViews>
  <sheets>
    <sheet name="TU_0818" sheetId="5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10" i="54" l="1"/>
  <c r="AJ8" i="54"/>
  <c r="AJ10" i="54" s="1"/>
  <c r="I36" i="54"/>
  <c r="C36" i="54"/>
  <c r="G34" i="54"/>
  <c r="L33" i="54"/>
  <c r="J33" i="54"/>
  <c r="L32" i="54"/>
  <c r="J32" i="54"/>
  <c r="L31" i="54"/>
  <c r="J31" i="54"/>
  <c r="M30" i="54"/>
  <c r="L30" i="54"/>
  <c r="J30" i="54"/>
  <c r="H30" i="54"/>
  <c r="G29" i="54"/>
  <c r="M28" i="54"/>
  <c r="L28" i="54"/>
  <c r="J28" i="54"/>
  <c r="L27" i="54"/>
  <c r="J27" i="54"/>
  <c r="L26" i="54"/>
  <c r="J26" i="54"/>
  <c r="M25" i="54"/>
  <c r="L25" i="54"/>
  <c r="J25" i="54"/>
  <c r="H25" i="54"/>
  <c r="G25" i="54"/>
  <c r="M24" i="54"/>
  <c r="L24" i="54"/>
  <c r="J24" i="54"/>
  <c r="H24" i="54"/>
  <c r="G24" i="54"/>
  <c r="M23" i="54"/>
  <c r="L23" i="54"/>
  <c r="J23" i="54"/>
  <c r="H23" i="54"/>
  <c r="L19" i="54"/>
  <c r="M15" i="54"/>
  <c r="L15" i="54"/>
  <c r="H15" i="54"/>
  <c r="F15" i="54"/>
  <c r="J15" i="54" s="1"/>
  <c r="D15" i="54"/>
  <c r="AK14" i="54"/>
  <c r="AJ14" i="54"/>
  <c r="L14" i="54"/>
  <c r="C12" i="54"/>
  <c r="M11" i="54"/>
  <c r="L11" i="54"/>
  <c r="H11" i="54"/>
  <c r="F11" i="54"/>
  <c r="J11" i="54" s="1"/>
  <c r="D11" i="54"/>
  <c r="M8" i="54"/>
  <c r="L8" i="54"/>
  <c r="H8" i="54"/>
  <c r="F8" i="54"/>
  <c r="J8" i="54" s="1"/>
  <c r="D8" i="54"/>
  <c r="F13" i="54" l="1"/>
  <c r="J13" i="54" s="1"/>
  <c r="C13" i="54"/>
  <c r="M12" i="54"/>
  <c r="L12" i="54"/>
  <c r="F12" i="54"/>
  <c r="J12" i="54" s="1"/>
  <c r="D12" i="54"/>
  <c r="M16" i="54"/>
  <c r="L16" i="54"/>
  <c r="H16" i="54"/>
  <c r="F16" i="54"/>
  <c r="J16" i="54" s="1"/>
  <c r="D16" i="54"/>
  <c r="M36" i="54"/>
  <c r="L36" i="54"/>
  <c r="M13" i="54" l="1"/>
  <c r="L13" i="54"/>
  <c r="H13" i="54"/>
  <c r="D13" i="54"/>
</calcChain>
</file>

<file path=xl/sharedStrings.xml><?xml version="1.0" encoding="utf-8"?>
<sst xmlns="http://schemas.openxmlformats.org/spreadsheetml/2006/main" count="95" uniqueCount="59">
  <si>
    <t>Mountain Creek</t>
  </si>
  <si>
    <t>First Shift</t>
  </si>
  <si>
    <t>Plan</t>
  </si>
  <si>
    <t>Actual</t>
  </si>
  <si>
    <t>Root Cause/Bridge Action Plan</t>
  </si>
  <si>
    <t>Receiving</t>
  </si>
  <si>
    <t>Repack Pick</t>
  </si>
  <si>
    <t>Repack Pack</t>
  </si>
  <si>
    <t>CSPK Pick</t>
  </si>
  <si>
    <t>Second Shift</t>
  </si>
  <si>
    <t xml:space="preserve"> Shift Plan</t>
  </si>
  <si>
    <t>@ 4:30pm</t>
  </si>
  <si>
    <t>@ EOS</t>
  </si>
  <si>
    <t>Variance @ 4:30 pm</t>
  </si>
  <si>
    <t>Variance EOS</t>
  </si>
  <si>
    <t>Total Released</t>
  </si>
  <si>
    <t xml:space="preserve"> Ztom</t>
  </si>
  <si>
    <t>Open Work</t>
  </si>
  <si>
    <t>Note: Only Yellow cells Must be Updated</t>
  </si>
  <si>
    <t>@ 12:30pm</t>
  </si>
  <si>
    <t>Lines</t>
  </si>
  <si>
    <t>Stops</t>
  </si>
  <si>
    <t>Loaders HC</t>
  </si>
  <si>
    <t>Loaders Hrs</t>
  </si>
  <si>
    <t>Support Hrs</t>
  </si>
  <si>
    <t>Total Routes</t>
  </si>
  <si>
    <t>Total Drivers</t>
  </si>
  <si>
    <t>Couriers</t>
  </si>
  <si>
    <t>First Driver On Route</t>
  </si>
  <si>
    <t>Last Driver On Route</t>
  </si>
  <si>
    <t>Redline</t>
  </si>
  <si>
    <t>Missing Labels</t>
  </si>
  <si>
    <t>Total Stops Returned</t>
  </si>
  <si>
    <t>On Time Performance P/Day</t>
  </si>
  <si>
    <t>OTIF Previous Day</t>
  </si>
  <si>
    <t>Recovery Drivers</t>
  </si>
  <si>
    <t>~ Lines to be Completed</t>
  </si>
  <si>
    <t>Total OB MC</t>
  </si>
  <si>
    <t xml:space="preserve"> </t>
  </si>
  <si>
    <t>Note: Do not modify Black Cells</t>
  </si>
  <si>
    <t>Task</t>
  </si>
  <si>
    <t>EOS</t>
  </si>
  <si>
    <t>Comments/Actions</t>
  </si>
  <si>
    <t>Avg Stop Per Route</t>
  </si>
  <si>
    <t>Start Time</t>
  </si>
  <si>
    <t>Delayed Deliveries</t>
  </si>
  <si>
    <t>Backlog</t>
  </si>
  <si>
    <t>Open TO's &amp; Oldest</t>
  </si>
  <si>
    <t>501's</t>
  </si>
  <si>
    <t>Replen Task</t>
  </si>
  <si>
    <t>To assit with new routes 9 and 23</t>
  </si>
  <si>
    <t>62.7% Above Forcast</t>
  </si>
  <si>
    <t>17 Associates, 4 Cap, 11 Staffing</t>
  </si>
  <si>
    <t xml:space="preserve">outbound call outs 1 / 1 pto / shorts James Cab also on red line que </t>
  </si>
  <si>
    <t>08/17 oldest Open TO</t>
  </si>
  <si>
    <t>812 Stops on Monday</t>
  </si>
  <si>
    <t>85.69% / 84.84%</t>
  </si>
  <si>
    <t xml:space="preserve">Drivers </t>
  </si>
  <si>
    <t>DC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</si>
</sst>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1"/>
      <color rgb="FF242424"/>
      <name val="Aptos Narrow"/>
    </font>
    <font>
      <b/>
      <sz val="11"/>
      <color theme="0"/>
      <name val="Aptos Narrow"/>
    </font>
    <font>
      <sz val="11"/>
      <color rgb="FF000000"/>
      <name val="Aptos Narrow"/>
    </font>
    <font>
      <b/>
      <sz val="11"/>
      <color theme="1"/>
      <name val="Aptos Narrow"/>
    </font>
    <font>
      <sz val="11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2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2" borderId="42" xfId="0" applyFont="1" applyFill="1" applyBorder="1"/>
    <xf numFmtId="0" fontId="3" fillId="2" borderId="43" xfId="0" applyFont="1" applyFill="1" applyBorder="1"/>
    <xf numFmtId="0" fontId="3" fillId="2" borderId="44" xfId="0" applyFont="1" applyFill="1" applyBorder="1"/>
    <xf numFmtId="0" fontId="2" fillId="3" borderId="1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26" xfId="0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3" borderId="47" xfId="0" applyFont="1" applyFill="1" applyBorder="1" applyAlignment="1">
      <alignment horizontal="center"/>
    </xf>
    <xf numFmtId="0" fontId="3" fillId="5" borderId="38" xfId="0" applyFont="1" applyFill="1" applyBorder="1" applyAlignment="1">
      <alignment horizontal="right"/>
    </xf>
    <xf numFmtId="0" fontId="0" fillId="3" borderId="2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3" fillId="3" borderId="53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3" fillId="5" borderId="54" xfId="0" applyFont="1" applyFill="1" applyBorder="1" applyAlignment="1">
      <alignment horizontal="center"/>
    </xf>
    <xf numFmtId="0" fontId="3" fillId="5" borderId="55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3" borderId="60" xfId="0" applyFill="1" applyBorder="1" applyAlignment="1">
      <alignment horizontal="center"/>
    </xf>
    <xf numFmtId="0" fontId="0" fillId="4" borderId="61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3" borderId="62" xfId="0" applyFill="1" applyBorder="1" applyAlignment="1">
      <alignment horizontal="center"/>
    </xf>
    <xf numFmtId="0" fontId="3" fillId="5" borderId="61" xfId="0" applyFont="1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63" xfId="0" applyFill="1" applyBorder="1" applyAlignment="1">
      <alignment horizontal="center"/>
    </xf>
    <xf numFmtId="0" fontId="0" fillId="3" borderId="64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0" fontId="8" fillId="5" borderId="28" xfId="0" applyFont="1" applyFill="1" applyBorder="1" applyAlignment="1">
      <alignment horizontal="right"/>
    </xf>
    <xf numFmtId="0" fontId="0" fillId="3" borderId="0" xfId="0" applyFill="1"/>
    <xf numFmtId="0" fontId="0" fillId="4" borderId="16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1" fontId="2" fillId="3" borderId="34" xfId="0" applyNumberFormat="1" applyFont="1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4" fillId="2" borderId="0" xfId="0" applyFont="1" applyFill="1"/>
    <xf numFmtId="164" fontId="4" fillId="2" borderId="0" xfId="0" applyNumberFormat="1" applyFont="1" applyFill="1"/>
    <xf numFmtId="0" fontId="9" fillId="3" borderId="0" xfId="0" applyFont="1" applyFill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 indent="1"/>
    </xf>
    <xf numFmtId="0" fontId="0" fillId="2" borderId="28" xfId="0" applyFill="1" applyBorder="1"/>
    <xf numFmtId="0" fontId="11" fillId="2" borderId="34" xfId="0" applyFont="1" applyFill="1" applyBorder="1"/>
    <xf numFmtId="0" fontId="11" fillId="4" borderId="68" xfId="0" applyFont="1" applyFill="1" applyBorder="1" applyAlignment="1">
      <alignment horizontal="center"/>
    </xf>
    <xf numFmtId="0" fontId="11" fillId="2" borderId="28" xfId="0" applyFont="1" applyFill="1" applyBorder="1"/>
    <xf numFmtId="0" fontId="11" fillId="2" borderId="35" xfId="0" applyFont="1" applyFill="1" applyBorder="1"/>
    <xf numFmtId="1" fontId="12" fillId="3" borderId="55" xfId="0" applyNumberFormat="1" applyFont="1" applyFill="1" applyBorder="1" applyAlignment="1">
      <alignment horizontal="center"/>
    </xf>
    <xf numFmtId="18" fontId="11" fillId="4" borderId="55" xfId="0" applyNumberFormat="1" applyFont="1" applyFill="1" applyBorder="1" applyAlignment="1">
      <alignment horizontal="center"/>
    </xf>
    <xf numFmtId="18" fontId="11" fillId="4" borderId="50" xfId="0" applyNumberFormat="1" applyFont="1" applyFill="1" applyBorder="1" applyAlignment="1">
      <alignment horizontal="center"/>
    </xf>
    <xf numFmtId="0" fontId="11" fillId="2" borderId="62" xfId="0" applyFont="1" applyFill="1" applyBorder="1"/>
    <xf numFmtId="18" fontId="11" fillId="4" borderId="0" xfId="0" applyNumberFormat="1" applyFont="1" applyFill="1" applyAlignment="1">
      <alignment horizontal="center"/>
    </xf>
    <xf numFmtId="0" fontId="11" fillId="4" borderId="54" xfId="0" applyFont="1" applyFill="1" applyBorder="1" applyAlignment="1">
      <alignment horizontal="center"/>
    </xf>
    <xf numFmtId="0" fontId="11" fillId="4" borderId="26" xfId="0" applyFont="1" applyFill="1" applyBorder="1" applyAlignment="1">
      <alignment horizontal="center"/>
    </xf>
    <xf numFmtId="0" fontId="11" fillId="3" borderId="54" xfId="0" applyFont="1" applyFill="1" applyBorder="1" applyAlignment="1">
      <alignment horizontal="center"/>
    </xf>
    <xf numFmtId="0" fontId="11" fillId="3" borderId="26" xfId="0" applyFont="1" applyFill="1" applyBorder="1" applyAlignment="1">
      <alignment horizontal="center"/>
    </xf>
    <xf numFmtId="0" fontId="0" fillId="5" borderId="59" xfId="0" applyFill="1" applyBorder="1"/>
    <xf numFmtId="0" fontId="0" fillId="2" borderId="59" xfId="0" applyFill="1" applyBorder="1"/>
    <xf numFmtId="0" fontId="11" fillId="4" borderId="49" xfId="0" applyFont="1" applyFill="1" applyBorder="1" applyAlignment="1">
      <alignment horizontal="center"/>
    </xf>
    <xf numFmtId="0" fontId="11" fillId="4" borderId="55" xfId="0" applyFont="1" applyFill="1" applyBorder="1" applyAlignment="1">
      <alignment horizontal="center"/>
    </xf>
    <xf numFmtId="0" fontId="11" fillId="4" borderId="50" xfId="0" applyFont="1" applyFill="1" applyBorder="1" applyAlignment="1">
      <alignment horizontal="center"/>
    </xf>
    <xf numFmtId="10" fontId="11" fillId="4" borderId="55" xfId="0" applyNumberFormat="1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10" fontId="11" fillId="4" borderId="50" xfId="0" applyNumberFormat="1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3" fillId="2" borderId="39" xfId="0" applyFont="1" applyFill="1" applyBorder="1"/>
    <xf numFmtId="0" fontId="3" fillId="2" borderId="40" xfId="0" applyFont="1" applyFill="1" applyBorder="1"/>
    <xf numFmtId="0" fontId="3" fillId="5" borderId="41" xfId="0" applyFont="1" applyFill="1" applyBorder="1" applyAlignment="1">
      <alignment horizontal="right"/>
    </xf>
    <xf numFmtId="0" fontId="3" fillId="2" borderId="69" xfId="0" applyFont="1" applyFill="1" applyBorder="1"/>
    <xf numFmtId="0" fontId="3" fillId="5" borderId="61" xfId="0" applyFont="1" applyFill="1" applyBorder="1" applyAlignment="1">
      <alignment horizontal="right"/>
    </xf>
    <xf numFmtId="0" fontId="0" fillId="3" borderId="50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7" fillId="5" borderId="54" xfId="0" applyFont="1" applyFill="1" applyBorder="1" applyAlignment="1">
      <alignment horizontal="right"/>
    </xf>
    <xf numFmtId="3" fontId="0" fillId="4" borderId="27" xfId="0" applyNumberFormat="1" applyFill="1" applyBorder="1" applyAlignment="1">
      <alignment horizontal="center"/>
    </xf>
    <xf numFmtId="3" fontId="0" fillId="4" borderId="28" xfId="0" applyNumberFormat="1" applyFill="1" applyBorder="1" applyAlignment="1">
      <alignment horizontal="center"/>
    </xf>
    <xf numFmtId="3" fontId="0" fillId="4" borderId="59" xfId="0" applyNumberFormat="1" applyFill="1" applyBorder="1" applyAlignment="1">
      <alignment horizontal="center"/>
    </xf>
    <xf numFmtId="9" fontId="11" fillId="4" borderId="54" xfId="0" applyNumberFormat="1" applyFont="1" applyFill="1" applyBorder="1" applyAlignment="1">
      <alignment horizontal="center"/>
    </xf>
    <xf numFmtId="9" fontId="11" fillId="4" borderId="26" xfId="0" applyNumberFormat="1" applyFont="1" applyFill="1" applyBorder="1" applyAlignment="1">
      <alignment horizontal="center"/>
    </xf>
    <xf numFmtId="0" fontId="14" fillId="3" borderId="56" xfId="0" applyFont="1" applyFill="1" applyBorder="1" applyAlignment="1">
      <alignment horizontal="center"/>
    </xf>
    <xf numFmtId="1" fontId="14" fillId="3" borderId="35" xfId="0" applyNumberFormat="1" applyFont="1" applyFill="1" applyBorder="1" applyAlignment="1">
      <alignment horizontal="center" indent="1"/>
    </xf>
    <xf numFmtId="0" fontId="14" fillId="3" borderId="50" xfId="0" applyFont="1" applyFill="1" applyBorder="1" applyAlignment="1">
      <alignment horizontal="center"/>
    </xf>
    <xf numFmtId="1" fontId="14" fillId="3" borderId="0" xfId="0" applyNumberFormat="1" applyFont="1" applyFill="1" applyAlignment="1">
      <alignment horizontal="center" indent="1"/>
    </xf>
    <xf numFmtId="1" fontId="14" fillId="3" borderId="62" xfId="0" applyNumberFormat="1" applyFont="1" applyFill="1" applyBorder="1" applyAlignment="1">
      <alignment horizontal="center" indent="1"/>
    </xf>
    <xf numFmtId="0" fontId="14" fillId="3" borderId="0" xfId="0" applyFont="1" applyFill="1" applyAlignment="1">
      <alignment horizontal="center"/>
    </xf>
    <xf numFmtId="1" fontId="14" fillId="3" borderId="55" xfId="0" applyNumberFormat="1" applyFont="1" applyFill="1" applyBorder="1" applyAlignment="1">
      <alignment horizontal="center" indent="1"/>
    </xf>
    <xf numFmtId="1" fontId="14" fillId="3" borderId="54" xfId="0" applyNumberFormat="1" applyFont="1" applyFill="1" applyBorder="1" applyAlignment="1">
      <alignment horizontal="center" indent="1"/>
    </xf>
    <xf numFmtId="1" fontId="14" fillId="3" borderId="55" xfId="0" applyNumberFormat="1" applyFont="1" applyFill="1" applyBorder="1" applyAlignment="1">
      <alignment horizontal="center"/>
    </xf>
    <xf numFmtId="0" fontId="15" fillId="3" borderId="45" xfId="0" applyFont="1" applyFill="1" applyBorder="1" applyAlignment="1">
      <alignment horizontal="center" indent="1"/>
    </xf>
    <xf numFmtId="0" fontId="15" fillId="3" borderId="19" xfId="0" applyFont="1" applyFill="1" applyBorder="1" applyAlignment="1">
      <alignment horizontal="center" indent="1"/>
    </xf>
    <xf numFmtId="0" fontId="14" fillId="3" borderId="36" xfId="0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 indent="1"/>
    </xf>
    <xf numFmtId="0" fontId="15" fillId="3" borderId="20" xfId="0" applyFont="1" applyFill="1" applyBorder="1" applyAlignment="1">
      <alignment horizontal="center" indent="1"/>
    </xf>
    <xf numFmtId="0" fontId="15" fillId="4" borderId="62" xfId="0" applyFont="1" applyFill="1" applyBorder="1" applyAlignment="1">
      <alignment horizontal="center"/>
    </xf>
    <xf numFmtId="0" fontId="15" fillId="3" borderId="33" xfId="0" applyFont="1" applyFill="1" applyBorder="1" applyAlignment="1">
      <alignment horizontal="center" indent="1"/>
    </xf>
    <xf numFmtId="0" fontId="15" fillId="3" borderId="0" xfId="0" applyFont="1" applyFill="1" applyAlignment="1">
      <alignment horizontal="center" indent="1"/>
    </xf>
    <xf numFmtId="0" fontId="15" fillId="4" borderId="28" xfId="0" applyFont="1" applyFill="1" applyBorder="1" applyAlignment="1">
      <alignment horizontal="center" indent="1"/>
    </xf>
    <xf numFmtId="0" fontId="15" fillId="4" borderId="59" xfId="0" applyFont="1" applyFill="1" applyBorder="1" applyAlignment="1">
      <alignment horizontal="center" indent="1"/>
    </xf>
    <xf numFmtId="0" fontId="15" fillId="3" borderId="58" xfId="0" applyFont="1" applyFill="1" applyBorder="1" applyAlignment="1">
      <alignment horizontal="center" indent="1"/>
    </xf>
    <xf numFmtId="0" fontId="15" fillId="4" borderId="61" xfId="0" applyFont="1" applyFill="1" applyBorder="1" applyAlignment="1">
      <alignment horizontal="center" vertical="center" indent="1"/>
    </xf>
    <xf numFmtId="0" fontId="15" fillId="4" borderId="28" xfId="0" applyFont="1" applyFill="1" applyBorder="1" applyAlignment="1">
      <alignment horizontal="center" vertical="center" indent="1"/>
    </xf>
    <xf numFmtId="1" fontId="14" fillId="3" borderId="0" xfId="0" applyNumberFormat="1" applyFont="1" applyFill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17" fillId="2" borderId="55" xfId="0" applyFont="1" applyFill="1" applyBorder="1" applyAlignment="1">
      <alignment horizontal="center"/>
    </xf>
    <xf numFmtId="1" fontId="2" fillId="3" borderId="70" xfId="0" applyNumberFormat="1" applyFont="1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3" fillId="2" borderId="67" xfId="0" applyFont="1" applyFill="1" applyBorder="1" applyAlignment="1">
      <alignment horizontal="left"/>
    </xf>
    <xf numFmtId="1" fontId="15" fillId="4" borderId="59" xfId="0" applyNumberFormat="1" applyFont="1" applyFill="1" applyBorder="1" applyAlignment="1">
      <alignment horizontal="center" indent="1"/>
    </xf>
    <xf numFmtId="1" fontId="14" fillId="3" borderId="16" xfId="0" applyNumberFormat="1" applyFont="1" applyFill="1" applyBorder="1" applyAlignment="1">
      <alignment horizontal="center" indent="1"/>
    </xf>
    <xf numFmtId="3" fontId="0" fillId="4" borderId="0" xfId="0" applyNumberFormat="1" applyFill="1" applyAlignment="1">
      <alignment horizontal="center"/>
    </xf>
    <xf numFmtId="0" fontId="0" fillId="3" borderId="31" xfId="0" applyFill="1" applyBorder="1" applyAlignment="1">
      <alignment horizontal="center"/>
    </xf>
    <xf numFmtId="3" fontId="0" fillId="4" borderId="24" xfId="0" applyNumberFormat="1" applyFill="1" applyBorder="1" applyAlignment="1">
      <alignment horizontal="center"/>
    </xf>
    <xf numFmtId="3" fontId="0" fillId="4" borderId="54" xfId="0" applyNumberFormat="1" applyFill="1" applyBorder="1" applyAlignment="1">
      <alignment horizontal="center"/>
    </xf>
    <xf numFmtId="0" fontId="16" fillId="6" borderId="28" xfId="0" applyFont="1" applyFill="1" applyBorder="1" applyAlignment="1">
      <alignment horizontal="center" indent="1"/>
    </xf>
    <xf numFmtId="0" fontId="16" fillId="6" borderId="0" xfId="0" applyFont="1" applyFill="1" applyAlignment="1">
      <alignment horizontal="center" indent="1"/>
    </xf>
    <xf numFmtId="1" fontId="16" fillId="6" borderId="0" xfId="0" applyNumberFormat="1" applyFont="1" applyFill="1" applyAlignment="1">
      <alignment horizontal="center" indent="1"/>
    </xf>
    <xf numFmtId="1" fontId="16" fillId="6" borderId="28" xfId="0" applyNumberFormat="1" applyFont="1" applyFill="1" applyBorder="1" applyAlignment="1">
      <alignment horizontal="center" indent="1"/>
    </xf>
    <xf numFmtId="1" fontId="16" fillId="6" borderId="56" xfId="0" applyNumberFormat="1" applyFont="1" applyFill="1" applyBorder="1" applyAlignment="1">
      <alignment horizontal="center" indent="1"/>
    </xf>
    <xf numFmtId="1" fontId="16" fillId="6" borderId="61" xfId="0" applyNumberFormat="1" applyFont="1" applyFill="1" applyBorder="1" applyAlignment="1">
      <alignment horizontal="center" indent="1"/>
    </xf>
    <xf numFmtId="1" fontId="16" fillId="6" borderId="54" xfId="0" applyNumberFormat="1" applyFont="1" applyFill="1" applyBorder="1" applyAlignment="1">
      <alignment horizontal="center" indent="1"/>
    </xf>
    <xf numFmtId="1" fontId="16" fillId="6" borderId="0" xfId="0" applyNumberFormat="1" applyFont="1" applyFill="1" applyAlignment="1">
      <alignment horizontal="center"/>
    </xf>
    <xf numFmtId="0" fontId="0" fillId="4" borderId="18" xfId="0" applyFill="1" applyBorder="1" applyAlignment="1">
      <alignment horizontal="center"/>
    </xf>
    <xf numFmtId="1" fontId="16" fillId="6" borderId="25" xfId="0" applyNumberFormat="1" applyFont="1" applyFill="1" applyBorder="1" applyAlignment="1">
      <alignment horizontal="center"/>
    </xf>
    <xf numFmtId="0" fontId="15" fillId="4" borderId="54" xfId="0" applyFont="1" applyFill="1" applyBorder="1" applyAlignment="1">
      <alignment horizontal="center"/>
    </xf>
    <xf numFmtId="0" fontId="15" fillId="3" borderId="54" xfId="0" applyFont="1" applyFill="1" applyBorder="1" applyAlignment="1">
      <alignment horizontal="center"/>
    </xf>
    <xf numFmtId="16" fontId="0" fillId="4" borderId="61" xfId="0" applyNumberFormat="1" applyFill="1" applyBorder="1" applyAlignment="1">
      <alignment horizontal="center"/>
    </xf>
    <xf numFmtId="1" fontId="14" fillId="3" borderId="25" xfId="0" applyNumberFormat="1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" fontId="14" fillId="3" borderId="54" xfId="0" applyNumberFormat="1" applyFont="1" applyFill="1" applyBorder="1" applyAlignment="1">
      <alignment horizontal="center"/>
    </xf>
    <xf numFmtId="1" fontId="14" fillId="3" borderId="16" xfId="0" applyNumberFormat="1" applyFont="1" applyFill="1" applyBorder="1" applyAlignment="1">
      <alignment horizontal="center"/>
    </xf>
    <xf numFmtId="0" fontId="0" fillId="2" borderId="75" xfId="0" applyFill="1" applyBorder="1" applyAlignment="1">
      <alignment horizontal="center"/>
    </xf>
    <xf numFmtId="0" fontId="0" fillId="2" borderId="67" xfId="0" applyFill="1" applyBorder="1" applyAlignment="1">
      <alignment horizontal="center"/>
    </xf>
    <xf numFmtId="9" fontId="0" fillId="2" borderId="77" xfId="1" applyFont="1" applyFill="1" applyBorder="1" applyAlignment="1">
      <alignment horizontal="center"/>
    </xf>
    <xf numFmtId="9" fontId="0" fillId="2" borderId="42" xfId="1" applyFont="1" applyFill="1" applyBorder="1" applyAlignment="1">
      <alignment horizontal="center"/>
    </xf>
    <xf numFmtId="9" fontId="0" fillId="2" borderId="13" xfId="1" applyFont="1" applyFill="1" applyBorder="1" applyAlignment="1">
      <alignment horizontal="center"/>
    </xf>
    <xf numFmtId="9" fontId="0" fillId="2" borderId="48" xfId="1" applyFont="1" applyFill="1" applyBorder="1" applyAlignment="1">
      <alignment horizontal="center"/>
    </xf>
    <xf numFmtId="0" fontId="0" fillId="2" borderId="16" xfId="0" applyFill="1" applyBorder="1"/>
    <xf numFmtId="0" fontId="0" fillId="2" borderId="31" xfId="0" applyFill="1" applyBorder="1"/>
    <xf numFmtId="0" fontId="0" fillId="3" borderId="4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1" fillId="5" borderId="31" xfId="0" applyFont="1" applyFill="1" applyBorder="1"/>
    <xf numFmtId="0" fontId="11" fillId="2" borderId="27" xfId="0" applyFont="1" applyFill="1" applyBorder="1"/>
    <xf numFmtId="0" fontId="3" fillId="2" borderId="21" xfId="0" applyFont="1" applyFill="1" applyBorder="1" applyAlignment="1">
      <alignment horizontal="center"/>
    </xf>
    <xf numFmtId="18" fontId="3" fillId="4" borderId="62" xfId="0" applyNumberFormat="1" applyFont="1" applyFill="1" applyBorder="1" applyAlignment="1">
      <alignment horizontal="center" vertical="center"/>
    </xf>
    <xf numFmtId="0" fontId="11" fillId="5" borderId="27" xfId="0" applyFont="1" applyFill="1" applyBorder="1"/>
    <xf numFmtId="0" fontId="11" fillId="5" borderId="57" xfId="0" applyFont="1" applyFill="1" applyBorder="1"/>
    <xf numFmtId="0" fontId="11" fillId="2" borderId="57" xfId="0" applyFont="1" applyFill="1" applyBorder="1"/>
    <xf numFmtId="0" fontId="0" fillId="2" borderId="0" xfId="0" applyFill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0" fillId="4" borderId="54" xfId="0" applyFont="1" applyFill="1" applyBorder="1" applyAlignment="1">
      <alignment horizontal="center" vertical="center" wrapText="1"/>
    </xf>
    <xf numFmtId="0" fontId="10" fillId="4" borderId="55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/>
    </xf>
    <xf numFmtId="0" fontId="9" fillId="3" borderId="54" xfId="0" applyFont="1" applyFill="1" applyBorder="1" applyAlignment="1">
      <alignment horizontal="center" indent="1"/>
    </xf>
    <xf numFmtId="0" fontId="9" fillId="3" borderId="55" xfId="0" applyFont="1" applyFill="1" applyBorder="1" applyAlignment="1">
      <alignment horizontal="center" indent="1"/>
    </xf>
    <xf numFmtId="0" fontId="9" fillId="3" borderId="27" xfId="0" applyFont="1" applyFill="1" applyBorder="1" applyAlignment="1">
      <alignment horizontal="center" indent="1"/>
    </xf>
    <xf numFmtId="0" fontId="3" fillId="5" borderId="54" xfId="0" quotePrefix="1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0" fillId="2" borderId="5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16" fillId="6" borderId="71" xfId="0" applyFont="1" applyFill="1" applyBorder="1" applyAlignment="1">
      <alignment horizontal="center"/>
    </xf>
    <xf numFmtId="0" fontId="16" fillId="6" borderId="0" xfId="0" applyFont="1" applyFill="1" applyAlignment="1">
      <alignment horizontal="center"/>
    </xf>
    <xf numFmtId="0" fontId="0" fillId="2" borderId="30" xfId="0" applyFill="1" applyBorder="1" applyAlignment="1">
      <alignment horizontal="center"/>
    </xf>
    <xf numFmtId="0" fontId="17" fillId="2" borderId="55" xfId="0" applyFont="1" applyFill="1" applyBorder="1" applyAlignment="1">
      <alignment horizontal="center"/>
    </xf>
    <xf numFmtId="0" fontId="4" fillId="3" borderId="61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13" fillId="5" borderId="24" xfId="0" applyFont="1" applyFill="1" applyBorder="1" applyAlignment="1">
      <alignment horizontal="center" vertical="center" wrapText="1"/>
    </xf>
    <xf numFmtId="0" fontId="13" fillId="5" borderId="54" xfId="0" applyFont="1" applyFill="1" applyBorder="1" applyAlignment="1">
      <alignment horizontal="center" vertical="center" wrapText="1"/>
    </xf>
    <xf numFmtId="0" fontId="13" fillId="5" borderId="27" xfId="0" applyFont="1" applyFill="1" applyBorder="1" applyAlignment="1">
      <alignment horizontal="center" vertical="center" wrapText="1"/>
    </xf>
    <xf numFmtId="1" fontId="16" fillId="6" borderId="71" xfId="0" applyNumberFormat="1" applyFont="1" applyFill="1" applyBorder="1" applyAlignment="1">
      <alignment horizontal="center"/>
    </xf>
    <xf numFmtId="1" fontId="16" fillId="6" borderId="0" xfId="0" applyNumberFormat="1" applyFont="1" applyFill="1" applyAlignment="1">
      <alignment horizontal="center"/>
    </xf>
    <xf numFmtId="1" fontId="16" fillId="6" borderId="72" xfId="0" applyNumberFormat="1" applyFont="1" applyFill="1" applyBorder="1" applyAlignment="1">
      <alignment horizontal="center"/>
    </xf>
    <xf numFmtId="1" fontId="16" fillId="6" borderId="54" xfId="0" applyNumberFormat="1" applyFont="1" applyFill="1" applyBorder="1" applyAlignment="1">
      <alignment horizontal="center"/>
    </xf>
    <xf numFmtId="0" fontId="16" fillId="6" borderId="54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1" fontId="16" fillId="6" borderId="28" xfId="0" applyNumberFormat="1" applyFont="1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66" xfId="0" applyFill="1" applyBorder="1" applyAlignment="1">
      <alignment horizontal="center"/>
    </xf>
    <xf numFmtId="18" fontId="3" fillId="4" borderId="62" xfId="0" applyNumberFormat="1" applyFont="1" applyFill="1" applyBorder="1" applyAlignment="1">
      <alignment horizontal="center" vertical="center"/>
    </xf>
    <xf numFmtId="18" fontId="3" fillId="4" borderId="59" xfId="0" applyNumberFormat="1" applyFont="1" applyFill="1" applyBorder="1" applyAlignment="1">
      <alignment horizontal="center" vertical="center"/>
    </xf>
    <xf numFmtId="18" fontId="3" fillId="4" borderId="6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16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16" xfId="0" quotePrefix="1" applyFont="1" applyFill="1" applyBorder="1" applyAlignment="1">
      <alignment horizontal="center"/>
    </xf>
    <xf numFmtId="0" fontId="13" fillId="5" borderId="0" xfId="0" applyFont="1" applyFill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16" fillId="6" borderId="72" xfId="0" applyFont="1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3" xfId="0" applyFill="1" applyBorder="1" applyAlignment="1">
      <alignment horizontal="center"/>
    </xf>
    <xf numFmtId="0" fontId="0" fillId="2" borderId="78" xfId="0" applyFill="1" applyBorder="1" applyAlignment="1">
      <alignment horizontal="center"/>
    </xf>
    <xf numFmtId="0" fontId="0" fillId="2" borderId="79" xfId="0" applyFill="1" applyBorder="1" applyAlignment="1">
      <alignment horizontal="center"/>
    </xf>
    <xf numFmtId="1" fontId="16" fillId="6" borderId="73" xfId="0" applyNumberFormat="1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76" xfId="0" applyFill="1" applyBorder="1" applyAlignment="1">
      <alignment horizontal="center"/>
    </xf>
    <xf numFmtId="0" fontId="3" fillId="6" borderId="74" xfId="0" applyFont="1" applyFill="1" applyBorder="1" applyAlignment="1">
      <alignment horizontal="center"/>
    </xf>
    <xf numFmtId="0" fontId="0" fillId="2" borderId="74" xfId="0" applyFill="1" applyBorder="1" applyAlignment="1">
      <alignment horizontal="center"/>
    </xf>
    <xf numFmtId="0" fontId="0" fillId="2" borderId="81" xfId="0" applyFill="1" applyBorder="1" applyAlignment="1">
      <alignment horizontal="center"/>
    </xf>
    <xf numFmtId="0" fontId="0" fillId="2" borderId="30" xfId="0" applyFill="1" applyBorder="1" applyAlignment="1">
      <alignment horizontal="left"/>
    </xf>
    <xf numFmtId="9" fontId="0" fillId="5" borderId="55" xfId="0" applyNumberFormat="1" applyFill="1" applyBorder="1" applyAlignment="1">
      <alignment horizontal="center"/>
    </xf>
    <xf numFmtId="9" fontId="0" fillId="5" borderId="27" xfId="0" applyNumberFormat="1" applyFill="1" applyBorder="1" applyAlignment="1">
      <alignment horizontal="center"/>
    </xf>
    <xf numFmtId="0" fontId="0" fillId="0" borderId="0" xfId="0" applyFill="1"/>
    <xf numFmtId="0" fontId="4" fillId="0" borderId="0" xfId="0" applyFont="1" applyFill="1"/>
  </cellXfs>
  <cellStyles count="2">
    <cellStyle name="Normal" xfId="0" builtinId="0"/>
    <cellStyle name="Percent" xfId="1" builtinId="5"/>
  </cellStyles>
  <dxfs count="34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</xdr:colOff>
      <xdr:row>0</xdr:row>
      <xdr:rowOff>149411</xdr:rowOff>
    </xdr:from>
    <xdr:to>
      <xdr:col>2</xdr:col>
      <xdr:colOff>769451</xdr:colOff>
      <xdr:row>2</xdr:row>
      <xdr:rowOff>150116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84BE4-A70A-449F-B7EA-EBF955BE2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785" y="149411"/>
          <a:ext cx="1883771" cy="381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1F04-4585-4E44-ABC2-30C436859DB2}">
  <sheetPr>
    <pageSetUpPr fitToPage="1"/>
  </sheetPr>
  <dimension ref="B1:AX37"/>
  <sheetViews>
    <sheetView tabSelected="1" zoomScale="80" zoomScaleNormal="80" workbookViewId="0">
      <selection activeCell="C38" sqref="C38"/>
    </sheetView>
  </sheetViews>
  <sheetFormatPr defaultColWidth="8.7265625" defaultRowHeight="14.5" x14ac:dyDescent="0.35"/>
  <cols>
    <col min="1" max="1" width="3.1796875" style="240" customWidth="1"/>
    <col min="2" max="2" width="17.7265625" style="240" customWidth="1"/>
    <col min="3" max="4" width="11.54296875" style="240" customWidth="1"/>
    <col min="5" max="5" width="9.26953125" style="240" customWidth="1"/>
    <col min="6" max="6" width="9.7265625" style="240" customWidth="1"/>
    <col min="7" max="7" width="8" style="240" bestFit="1" customWidth="1"/>
    <col min="8" max="8" width="7.7265625" style="240" customWidth="1"/>
    <col min="9" max="9" width="9.1796875" style="240" customWidth="1"/>
    <col min="10" max="10" width="11.54296875" style="240" customWidth="1"/>
    <col min="11" max="11" width="1.81640625" style="240" customWidth="1"/>
    <col min="12" max="13" width="11.54296875" style="240" customWidth="1"/>
    <col min="14" max="14" width="12" style="240" customWidth="1"/>
    <col min="15" max="15" width="9.1796875" style="240" bestFit="1" customWidth="1"/>
    <col min="16" max="16" width="9.81640625" style="240" bestFit="1" customWidth="1"/>
    <col min="17" max="20" width="9.1796875" style="240" bestFit="1" customWidth="1"/>
    <col min="21" max="21" width="38" style="240" customWidth="1"/>
    <col min="22" max="22" width="9.1796875" style="240" bestFit="1" customWidth="1"/>
    <col min="23" max="30" width="2.453125" style="240" customWidth="1"/>
    <col min="31" max="31" width="3.54296875" style="241" customWidth="1"/>
    <col min="32" max="33" width="3.7265625" style="240" customWidth="1"/>
    <col min="34" max="34" width="11.54296875" style="240" customWidth="1"/>
    <col min="35" max="35" width="26.7265625" style="240" customWidth="1"/>
    <col min="36" max="36" width="17.54296875" style="240" customWidth="1"/>
    <col min="37" max="38" width="18.54296875" style="240" customWidth="1"/>
    <col min="39" max="50" width="9.1796875" style="240" bestFit="1" customWidth="1"/>
    <col min="51" max="16384" width="8.7265625" style="240"/>
  </cols>
  <sheetData>
    <row r="1" spans="2:50" s="1" customFormat="1" x14ac:dyDescent="0.35">
      <c r="C1" s="172"/>
      <c r="D1" s="172"/>
      <c r="E1" s="172"/>
      <c r="F1" s="172"/>
      <c r="G1" s="5"/>
      <c r="H1" s="5"/>
      <c r="I1" s="5"/>
      <c r="J1" s="5"/>
      <c r="K1" s="5"/>
      <c r="W1" s="51"/>
      <c r="X1" s="51"/>
      <c r="Y1" s="51"/>
      <c r="Z1" s="51"/>
      <c r="AA1" s="51"/>
      <c r="AB1" s="51"/>
      <c r="AC1" s="51"/>
      <c r="AD1" s="51"/>
      <c r="AE1" s="58"/>
    </row>
    <row r="2" spans="2:50" s="1" customFormat="1" x14ac:dyDescent="0.35">
      <c r="C2" s="172"/>
      <c r="D2" s="172"/>
      <c r="E2" s="172"/>
      <c r="F2" s="172"/>
      <c r="G2" s="5"/>
      <c r="H2" s="5"/>
      <c r="I2" s="5"/>
      <c r="J2" s="5"/>
      <c r="K2" s="5"/>
      <c r="W2" s="51"/>
      <c r="X2" s="51"/>
      <c r="Y2" s="51"/>
      <c r="Z2" s="51"/>
      <c r="AA2" s="51"/>
      <c r="AB2" s="51"/>
      <c r="AC2" s="51"/>
      <c r="AD2" s="51"/>
      <c r="AE2" s="58"/>
    </row>
    <row r="3" spans="2:50" s="1" customFormat="1" ht="18.75" customHeight="1" x14ac:dyDescent="0.45">
      <c r="C3" s="172"/>
      <c r="D3" s="172"/>
      <c r="E3" s="172"/>
      <c r="F3" s="172"/>
      <c r="G3" s="5"/>
      <c r="H3" s="5"/>
      <c r="I3" s="5"/>
      <c r="J3" s="5"/>
      <c r="K3" s="5"/>
      <c r="W3" s="51"/>
      <c r="X3" s="51"/>
      <c r="Y3" s="51"/>
      <c r="Z3" s="51"/>
      <c r="AA3" s="51"/>
      <c r="AB3" s="51"/>
      <c r="AC3" s="51"/>
      <c r="AD3" s="51"/>
      <c r="AE3" s="58"/>
      <c r="AT3" s="173" t="s">
        <v>39</v>
      </c>
      <c r="AU3" s="173"/>
      <c r="AV3" s="173"/>
      <c r="AW3" s="173"/>
      <c r="AX3" s="173"/>
    </row>
    <row r="4" spans="2:50" s="1" customFormat="1" ht="18.649999999999999" customHeight="1" x14ac:dyDescent="0.45">
      <c r="Q4" s="174" t="s">
        <v>18</v>
      </c>
      <c r="R4" s="174"/>
      <c r="S4" s="174"/>
      <c r="T4" s="174"/>
      <c r="U4" s="174"/>
      <c r="W4" s="51"/>
      <c r="X4" s="51"/>
      <c r="Y4" s="51"/>
      <c r="Z4" s="51"/>
      <c r="AA4" s="51"/>
      <c r="AB4" s="51"/>
      <c r="AC4" s="51"/>
      <c r="AD4" s="51"/>
      <c r="AE4" s="58"/>
      <c r="AI4" s="175" t="s">
        <v>0</v>
      </c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7"/>
    </row>
    <row r="5" spans="2:50" s="1" customFormat="1" ht="18.649999999999999" customHeight="1" x14ac:dyDescent="0.45">
      <c r="B5" s="178" t="s">
        <v>58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W5" s="51"/>
      <c r="X5" s="51"/>
      <c r="Y5" s="51"/>
      <c r="Z5" s="51"/>
      <c r="AA5" s="51"/>
      <c r="AB5" s="51"/>
      <c r="AC5" s="51"/>
      <c r="AD5" s="51"/>
      <c r="AE5" s="58"/>
      <c r="AI5" s="60" t="s">
        <v>40</v>
      </c>
      <c r="AJ5" s="60"/>
      <c r="AK5" s="61" t="s">
        <v>2</v>
      </c>
      <c r="AL5" s="62" t="s">
        <v>41</v>
      </c>
      <c r="AM5" s="179" t="s">
        <v>42</v>
      </c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1"/>
    </row>
    <row r="6" spans="2:50" s="1" customFormat="1" ht="15" customHeight="1" x14ac:dyDescent="0.4">
      <c r="B6" s="194" t="s">
        <v>1</v>
      </c>
      <c r="C6" s="195" t="s">
        <v>10</v>
      </c>
      <c r="D6" s="196" t="s">
        <v>19</v>
      </c>
      <c r="E6" s="196"/>
      <c r="F6" s="197" t="s">
        <v>11</v>
      </c>
      <c r="G6" s="197"/>
      <c r="H6" s="182" t="s">
        <v>12</v>
      </c>
      <c r="I6" s="183"/>
      <c r="J6" s="198" t="s">
        <v>13</v>
      </c>
      <c r="K6" s="198"/>
      <c r="L6" s="182" t="s">
        <v>14</v>
      </c>
      <c r="M6" s="183"/>
      <c r="N6" s="184" t="s">
        <v>4</v>
      </c>
      <c r="O6" s="185"/>
      <c r="P6" s="185"/>
      <c r="Q6" s="185"/>
      <c r="R6" s="185"/>
      <c r="S6" s="185"/>
      <c r="T6" s="185"/>
      <c r="U6" s="185"/>
      <c r="W6" s="51"/>
      <c r="X6" s="51"/>
      <c r="Y6" s="51"/>
      <c r="Z6" s="51"/>
      <c r="AA6" s="51"/>
      <c r="AB6" s="51"/>
      <c r="AC6" s="51"/>
      <c r="AD6" s="51"/>
      <c r="AE6" s="58"/>
      <c r="AI6" s="64" t="s">
        <v>20</v>
      </c>
      <c r="AJ6" s="79">
        <v>7287</v>
      </c>
      <c r="AK6" s="65"/>
      <c r="AL6" s="63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7"/>
    </row>
    <row r="7" spans="2:50" s="1" customFormat="1" ht="16" x14ac:dyDescent="0.4">
      <c r="B7" s="194"/>
      <c r="C7" s="195"/>
      <c r="D7" s="34" t="s">
        <v>2</v>
      </c>
      <c r="E7" s="34" t="s">
        <v>3</v>
      </c>
      <c r="F7" s="44" t="s">
        <v>2</v>
      </c>
      <c r="G7" s="35" t="s">
        <v>3</v>
      </c>
      <c r="H7" s="8" t="s">
        <v>2</v>
      </c>
      <c r="I7" s="8" t="s">
        <v>3</v>
      </c>
      <c r="J7" s="199"/>
      <c r="K7" s="200"/>
      <c r="L7" s="11" t="s">
        <v>2</v>
      </c>
      <c r="M7" s="6" t="s">
        <v>3</v>
      </c>
      <c r="N7" s="185"/>
      <c r="O7" s="185"/>
      <c r="P7" s="185"/>
      <c r="Q7" s="185"/>
      <c r="R7" s="185"/>
      <c r="S7" s="185"/>
      <c r="T7" s="185"/>
      <c r="U7" s="185"/>
      <c r="W7" s="51"/>
      <c r="X7" s="51"/>
      <c r="Y7" s="51"/>
      <c r="Z7" s="51"/>
      <c r="AA7" s="51"/>
      <c r="AB7" s="51"/>
      <c r="AC7" s="51"/>
      <c r="AD7" s="51"/>
      <c r="AE7" s="58"/>
      <c r="AI7" s="66" t="s">
        <v>21</v>
      </c>
      <c r="AJ7" s="80">
        <v>1077</v>
      </c>
      <c r="AK7" s="73">
        <v>679</v>
      </c>
      <c r="AL7" s="77"/>
      <c r="AM7" s="238" t="s">
        <v>51</v>
      </c>
      <c r="AN7" s="238"/>
      <c r="AO7" s="238"/>
      <c r="AP7" s="238"/>
      <c r="AQ7" s="238"/>
      <c r="AR7" s="238"/>
      <c r="AS7" s="238"/>
      <c r="AT7" s="238"/>
      <c r="AU7" s="238"/>
      <c r="AV7" s="238"/>
      <c r="AW7" s="238"/>
      <c r="AX7" s="239"/>
    </row>
    <row r="8" spans="2:50" s="1" customFormat="1" ht="16" x14ac:dyDescent="0.4">
      <c r="B8" s="89" t="s">
        <v>5</v>
      </c>
      <c r="C8" s="129">
        <v>10</v>
      </c>
      <c r="D8" s="56">
        <f>C8*0.8</f>
        <v>8</v>
      </c>
      <c r="E8" s="129">
        <v>5</v>
      </c>
      <c r="F8" s="137">
        <f>C8</f>
        <v>10</v>
      </c>
      <c r="G8" s="54"/>
      <c r="H8" s="102">
        <f>C8</f>
        <v>10</v>
      </c>
      <c r="I8" s="41"/>
      <c r="J8" s="190">
        <f>F8-G8</f>
        <v>10</v>
      </c>
      <c r="K8" s="191"/>
      <c r="L8" s="152">
        <f>I8-C8</f>
        <v>-10</v>
      </c>
      <c r="M8" s="157">
        <f>IFERROR((I8/C8),0)</f>
        <v>0</v>
      </c>
      <c r="N8" s="192"/>
      <c r="O8" s="192"/>
      <c r="P8" s="192"/>
      <c r="Q8" s="192"/>
      <c r="R8" s="192"/>
      <c r="S8" s="192"/>
      <c r="T8" s="192"/>
      <c r="U8" s="192"/>
      <c r="W8" s="51"/>
      <c r="X8" s="51"/>
      <c r="Y8" s="51"/>
      <c r="Z8" s="51"/>
      <c r="AA8" s="51"/>
      <c r="AB8" s="51"/>
      <c r="AC8" s="51"/>
      <c r="AD8" s="51"/>
      <c r="AE8" s="58"/>
      <c r="AI8" s="67" t="s">
        <v>22</v>
      </c>
      <c r="AJ8" s="81">
        <f>17+4+11</f>
        <v>32</v>
      </c>
      <c r="AK8" s="74">
        <v>33</v>
      </c>
      <c r="AL8" s="78"/>
      <c r="AM8" s="193" t="s">
        <v>52</v>
      </c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7"/>
    </row>
    <row r="9" spans="2:50" s="1" customFormat="1" ht="16" x14ac:dyDescent="0.4">
      <c r="B9" s="130" t="s">
        <v>47</v>
      </c>
      <c r="C9" s="149"/>
      <c r="D9" s="128"/>
      <c r="E9" s="53"/>
      <c r="F9" s="138"/>
      <c r="G9" s="41"/>
      <c r="H9" s="102"/>
      <c r="I9" s="57"/>
      <c r="J9" s="205"/>
      <c r="K9" s="205"/>
      <c r="L9" s="153"/>
      <c r="M9" s="110"/>
      <c r="N9" s="192" t="s">
        <v>53</v>
      </c>
      <c r="O9" s="192"/>
      <c r="P9" s="192"/>
      <c r="Q9" s="192"/>
      <c r="R9" s="192"/>
      <c r="S9" s="192"/>
      <c r="T9" s="192"/>
      <c r="U9" s="192"/>
      <c r="W9" s="51"/>
      <c r="X9" s="51"/>
      <c r="Y9" s="51"/>
      <c r="Z9" s="51"/>
      <c r="AA9" s="51"/>
      <c r="AB9" s="51"/>
      <c r="AC9" s="51"/>
      <c r="AD9" s="51"/>
      <c r="AE9" s="58"/>
      <c r="AI9" s="71"/>
      <c r="AJ9" s="83"/>
      <c r="AK9" s="84"/>
      <c r="AL9" s="78"/>
      <c r="AM9" s="127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6"/>
    </row>
    <row r="10" spans="2:50" s="1" customFormat="1" ht="16" x14ac:dyDescent="0.4">
      <c r="B10" s="130" t="s">
        <v>48</v>
      </c>
      <c r="C10" s="38">
        <v>0</v>
      </c>
      <c r="D10" s="128"/>
      <c r="E10" s="129">
        <v>0</v>
      </c>
      <c r="F10" s="137"/>
      <c r="G10" s="54"/>
      <c r="H10" s="102"/>
      <c r="I10" s="42"/>
      <c r="J10" s="206"/>
      <c r="K10" s="206"/>
      <c r="L10" s="154"/>
      <c r="M10" s="124"/>
      <c r="N10" s="237" t="s">
        <v>54</v>
      </c>
      <c r="O10" s="237"/>
      <c r="P10" s="237"/>
      <c r="Q10" s="237"/>
      <c r="R10" s="237"/>
      <c r="S10" s="237"/>
      <c r="T10" s="237"/>
      <c r="U10" s="237"/>
      <c r="W10" s="51"/>
      <c r="X10" s="51"/>
      <c r="Y10" s="51"/>
      <c r="Z10" s="51"/>
      <c r="AA10" s="51"/>
      <c r="AB10" s="51"/>
      <c r="AC10" s="51"/>
      <c r="AD10" s="51"/>
      <c r="AE10" s="58"/>
      <c r="AI10" s="66" t="s">
        <v>23</v>
      </c>
      <c r="AJ10" s="80">
        <f>AJ8*8</f>
        <v>256</v>
      </c>
      <c r="AK10" s="73">
        <f>AK8*8</f>
        <v>264</v>
      </c>
      <c r="AL10" s="77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9"/>
    </row>
    <row r="11" spans="2:50" s="1" customFormat="1" ht="16.5" thickBot="1" x14ac:dyDescent="0.45">
      <c r="B11" s="90" t="s">
        <v>6</v>
      </c>
      <c r="C11" s="48">
        <v>178</v>
      </c>
      <c r="D11" s="103">
        <f>(C11/7.25)*2.5</f>
        <v>61.379310344827587</v>
      </c>
      <c r="E11" s="54"/>
      <c r="F11" s="139">
        <f>(C11/7.25)*5.5</f>
        <v>135.0344827586207</v>
      </c>
      <c r="G11" s="42"/>
      <c r="H11" s="104">
        <f>C11</f>
        <v>178</v>
      </c>
      <c r="I11" s="145"/>
      <c r="J11" s="203">
        <f>F11-G11</f>
        <v>135.0344827586207</v>
      </c>
      <c r="K11" s="204"/>
      <c r="L11" s="155">
        <f>I11-C11</f>
        <v>-178</v>
      </c>
      <c r="M11" s="158">
        <f>IFERROR((I11/C11),0)</f>
        <v>0</v>
      </c>
      <c r="N11" s="192"/>
      <c r="O11" s="192"/>
      <c r="P11" s="192"/>
      <c r="Q11" s="192"/>
      <c r="R11" s="192"/>
      <c r="S11" s="192"/>
      <c r="T11" s="192"/>
      <c r="U11" s="192"/>
      <c r="W11" s="51"/>
      <c r="X11" s="51"/>
      <c r="Y11" s="51"/>
      <c r="Z11" s="51"/>
      <c r="AA11" s="51"/>
      <c r="AB11" s="51"/>
      <c r="AC11" s="51"/>
      <c r="AD11" s="51"/>
      <c r="AE11" s="58"/>
      <c r="AI11" s="67" t="s">
        <v>24</v>
      </c>
      <c r="AJ11" s="81">
        <v>0</v>
      </c>
      <c r="AK11" s="74">
        <v>0</v>
      </c>
      <c r="AL11" s="78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7"/>
    </row>
    <row r="12" spans="2:50" s="1" customFormat="1" ht="16.5" thickBot="1" x14ac:dyDescent="0.45">
      <c r="B12" s="90" t="s">
        <v>7</v>
      </c>
      <c r="C12" s="21">
        <f>C11</f>
        <v>178</v>
      </c>
      <c r="D12" s="103">
        <f>(C12/7.25)*2.5</f>
        <v>61.379310344827587</v>
      </c>
      <c r="E12" s="133"/>
      <c r="F12" s="140">
        <f>(C12/7.25)*5.5</f>
        <v>135.0344827586207</v>
      </c>
      <c r="G12" s="42"/>
      <c r="H12" s="104">
        <v>188</v>
      </c>
      <c r="I12" s="41"/>
      <c r="J12" s="203">
        <f>F12-G12</f>
        <v>135.0344827586207</v>
      </c>
      <c r="K12" s="204"/>
      <c r="L12" s="155">
        <f>I12-C12</f>
        <v>-178</v>
      </c>
      <c r="M12" s="158">
        <f>IFERROR((I12/C12),0)</f>
        <v>0</v>
      </c>
      <c r="N12" s="192"/>
      <c r="O12" s="192"/>
      <c r="P12" s="192"/>
      <c r="Q12" s="192"/>
      <c r="R12" s="192"/>
      <c r="S12" s="192"/>
      <c r="T12" s="192"/>
      <c r="U12" s="192"/>
      <c r="W12" s="51"/>
      <c r="X12" s="51"/>
      <c r="Y12" s="51"/>
      <c r="Z12" s="51"/>
      <c r="AA12" s="51"/>
      <c r="AB12" s="51"/>
      <c r="AC12" s="51"/>
      <c r="AD12" s="51"/>
      <c r="AE12" s="58"/>
      <c r="AI12" s="66" t="s">
        <v>25</v>
      </c>
      <c r="AJ12" s="80">
        <v>39</v>
      </c>
      <c r="AK12" s="73">
        <v>33</v>
      </c>
      <c r="AL12" s="77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9"/>
    </row>
    <row r="13" spans="2:50" s="1" customFormat="1" ht="16.5" thickBot="1" x14ac:dyDescent="0.45">
      <c r="B13" s="91" t="s">
        <v>15</v>
      </c>
      <c r="C13" s="17">
        <f>C12</f>
        <v>178</v>
      </c>
      <c r="D13" s="103">
        <f>(C13/7.25)*2.5</f>
        <v>61.379310344827587</v>
      </c>
      <c r="E13" s="54">
        <v>93</v>
      </c>
      <c r="F13" s="139">
        <f>C12*0.9</f>
        <v>160.20000000000002</v>
      </c>
      <c r="G13" s="42"/>
      <c r="H13" s="104">
        <f>C13</f>
        <v>178</v>
      </c>
      <c r="I13" s="57"/>
      <c r="J13" s="203">
        <f>G13-F13</f>
        <v>-160.20000000000002</v>
      </c>
      <c r="K13" s="204"/>
      <c r="L13" s="151">
        <f>I13-C13</f>
        <v>-178</v>
      </c>
      <c r="M13" s="159">
        <f>IFERROR((I13/C13),0)</f>
        <v>0</v>
      </c>
      <c r="N13" s="192"/>
      <c r="O13" s="192"/>
      <c r="P13" s="192"/>
      <c r="Q13" s="192"/>
      <c r="R13" s="192"/>
      <c r="S13" s="192"/>
      <c r="T13" s="192"/>
      <c r="U13" s="192"/>
      <c r="W13" s="51"/>
      <c r="X13" s="51"/>
      <c r="Y13" s="51"/>
      <c r="Z13" s="51"/>
      <c r="AA13" s="51"/>
      <c r="AB13" s="51"/>
      <c r="AC13" s="51"/>
      <c r="AD13" s="51"/>
      <c r="AE13" s="58"/>
      <c r="AI13" s="67" t="s">
        <v>26</v>
      </c>
      <c r="AJ13" s="81">
        <v>35</v>
      </c>
      <c r="AK13" s="74">
        <v>37</v>
      </c>
      <c r="AL13" s="78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7"/>
    </row>
    <row r="14" spans="2:50" s="1" customFormat="1" ht="16" x14ac:dyDescent="0.4">
      <c r="B14" s="91" t="s">
        <v>16</v>
      </c>
      <c r="C14" s="17">
        <v>0</v>
      </c>
      <c r="D14" s="103">
        <v>0</v>
      </c>
      <c r="E14" s="12">
        <v>34</v>
      </c>
      <c r="F14" s="140"/>
      <c r="G14" s="55"/>
      <c r="H14" s="104"/>
      <c r="I14" s="38"/>
      <c r="J14" s="202"/>
      <c r="K14" s="202"/>
      <c r="L14" s="208">
        <f>C14-I14</f>
        <v>0</v>
      </c>
      <c r="M14" s="208"/>
      <c r="N14" s="192"/>
      <c r="O14" s="192"/>
      <c r="P14" s="192"/>
      <c r="Q14" s="192"/>
      <c r="R14" s="192"/>
      <c r="S14" s="192"/>
      <c r="T14" s="192"/>
      <c r="U14" s="192"/>
      <c r="W14" s="51"/>
      <c r="X14" s="51"/>
      <c r="Y14" s="51"/>
      <c r="Z14" s="51"/>
      <c r="AA14" s="51"/>
      <c r="AB14" s="51"/>
      <c r="AC14" s="51"/>
      <c r="AD14" s="51"/>
      <c r="AE14" s="58"/>
      <c r="AI14" s="66" t="s">
        <v>43</v>
      </c>
      <c r="AJ14" s="68">
        <f>IFERROR((AJ7/AJ12),0)</f>
        <v>27.615384615384617</v>
      </c>
      <c r="AK14" s="68">
        <f>IFERROR((AK7/AK12),0)</f>
        <v>20.575757575757574</v>
      </c>
      <c r="AL14" s="77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9"/>
    </row>
    <row r="15" spans="2:50" s="1" customFormat="1" ht="16" x14ac:dyDescent="0.4">
      <c r="B15" s="92" t="s">
        <v>8</v>
      </c>
      <c r="C15" s="10">
        <v>2856</v>
      </c>
      <c r="D15" s="103">
        <f>(C15/7.25)*2</f>
        <v>787.86206896551721</v>
      </c>
      <c r="E15" s="97">
        <v>530</v>
      </c>
      <c r="F15" s="141">
        <f>(C15/7.25)*5.5</f>
        <v>2166.6206896551721</v>
      </c>
      <c r="G15" s="98"/>
      <c r="H15" s="104">
        <f>C15</f>
        <v>2856</v>
      </c>
      <c r="I15" s="52"/>
      <c r="J15" s="203">
        <f>G15-F15</f>
        <v>-2166.6206896551721</v>
      </c>
      <c r="K15" s="204"/>
      <c r="L15" s="156">
        <f>I15-C15</f>
        <v>-2856</v>
      </c>
      <c r="M15" s="160">
        <f>IFERROR((I15/C15),0)</f>
        <v>0</v>
      </c>
      <c r="N15" s="192"/>
      <c r="O15" s="192"/>
      <c r="P15" s="192"/>
      <c r="Q15" s="192"/>
      <c r="R15" s="192"/>
      <c r="S15" s="192"/>
      <c r="T15" s="192"/>
      <c r="U15" s="192"/>
      <c r="W15" s="51"/>
      <c r="X15" s="51"/>
      <c r="Y15" s="51"/>
      <c r="Z15" s="51"/>
      <c r="AA15" s="51"/>
      <c r="AB15" s="51"/>
      <c r="AC15" s="51"/>
      <c r="AD15" s="51"/>
      <c r="AE15" s="59">
        <v>0.29166666666666669</v>
      </c>
      <c r="AH15" s="167" t="s">
        <v>44</v>
      </c>
      <c r="AI15" s="67" t="s">
        <v>27</v>
      </c>
      <c r="AJ15" s="81">
        <v>4</v>
      </c>
      <c r="AK15" s="74">
        <v>0</v>
      </c>
      <c r="AL15" s="78"/>
      <c r="AM15" s="186" t="s">
        <v>50</v>
      </c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7"/>
    </row>
    <row r="16" spans="2:50" s="1" customFormat="1" ht="16" x14ac:dyDescent="0.4">
      <c r="B16" s="91" t="s">
        <v>15</v>
      </c>
      <c r="C16" s="12"/>
      <c r="D16" s="103">
        <f>(C16/7.25)*3</f>
        <v>0</v>
      </c>
      <c r="E16" s="55">
        <v>1268</v>
      </c>
      <c r="F16" s="139">
        <f>C16*0.9</f>
        <v>0</v>
      </c>
      <c r="G16" s="99"/>
      <c r="H16" s="104">
        <f>C16</f>
        <v>0</v>
      </c>
      <c r="I16" s="38"/>
      <c r="J16" s="201">
        <f>G16-F16</f>
        <v>0</v>
      </c>
      <c r="K16" s="202"/>
      <c r="L16" s="151">
        <f>I16-C16</f>
        <v>0</v>
      </c>
      <c r="M16" s="159">
        <f>IFERROR((I16/C16),0)</f>
        <v>0</v>
      </c>
      <c r="N16" s="192"/>
      <c r="O16" s="192"/>
      <c r="P16" s="192"/>
      <c r="Q16" s="192"/>
      <c r="R16" s="192"/>
      <c r="S16" s="192"/>
      <c r="T16" s="192"/>
      <c r="U16" s="192"/>
      <c r="W16" s="51"/>
      <c r="X16" s="51"/>
      <c r="Y16" s="51"/>
      <c r="Z16" s="51"/>
      <c r="AA16" s="51"/>
      <c r="AB16" s="51"/>
      <c r="AC16" s="51"/>
      <c r="AD16" s="51"/>
      <c r="AE16" s="59">
        <v>0.30208333333333331</v>
      </c>
      <c r="AH16" s="214">
        <v>0.29166666666666669</v>
      </c>
      <c r="AI16" s="169" t="s">
        <v>28</v>
      </c>
      <c r="AJ16" s="69">
        <v>0.33333333333333298</v>
      </c>
      <c r="AK16" s="75"/>
      <c r="AL16" s="77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9"/>
    </row>
    <row r="17" spans="2:50" s="1" customFormat="1" ht="16" x14ac:dyDescent="0.4">
      <c r="B17" s="93" t="s">
        <v>16</v>
      </c>
      <c r="C17" s="94"/>
      <c r="D17" s="106"/>
      <c r="E17" s="135"/>
      <c r="F17" s="142"/>
      <c r="G17" s="99"/>
      <c r="H17" s="107"/>
      <c r="I17" s="52"/>
      <c r="J17" s="204"/>
      <c r="K17" s="207"/>
      <c r="L17" s="186"/>
      <c r="M17" s="186"/>
      <c r="N17" s="192"/>
      <c r="O17" s="192"/>
      <c r="P17" s="192"/>
      <c r="Q17" s="192"/>
      <c r="R17" s="192"/>
      <c r="S17" s="192"/>
      <c r="T17" s="192"/>
      <c r="U17" s="192"/>
      <c r="W17" s="51"/>
      <c r="X17" s="51"/>
      <c r="Y17" s="51"/>
      <c r="Z17" s="51"/>
      <c r="AA17" s="51"/>
      <c r="AB17" s="51"/>
      <c r="AC17" s="51"/>
      <c r="AD17" s="51"/>
      <c r="AE17" s="59">
        <v>0.3125</v>
      </c>
      <c r="AH17" s="214"/>
      <c r="AI17" s="170" t="s">
        <v>29</v>
      </c>
      <c r="AJ17" s="70"/>
      <c r="AK17" s="76"/>
      <c r="AL17" s="78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7"/>
    </row>
    <row r="18" spans="2:50" s="1" customFormat="1" ht="16" x14ac:dyDescent="0.4">
      <c r="B18" s="93" t="s">
        <v>49</v>
      </c>
      <c r="C18" s="18"/>
      <c r="D18" s="132"/>
      <c r="E18" s="136"/>
      <c r="F18" s="140"/>
      <c r="G18" s="134"/>
      <c r="H18" s="107"/>
      <c r="I18" s="38"/>
      <c r="J18" s="144"/>
      <c r="K18" s="144"/>
      <c r="L18" s="209"/>
      <c r="M18" s="209"/>
      <c r="N18" s="192"/>
      <c r="O18" s="192"/>
      <c r="P18" s="192"/>
      <c r="Q18" s="192"/>
      <c r="R18" s="192"/>
      <c r="S18" s="192"/>
      <c r="T18" s="192"/>
      <c r="U18" s="192"/>
      <c r="W18" s="51"/>
      <c r="X18" s="51"/>
      <c r="Y18" s="51"/>
      <c r="Z18" s="51"/>
      <c r="AA18" s="51"/>
      <c r="AB18" s="51"/>
      <c r="AC18" s="51"/>
      <c r="AD18" s="51"/>
      <c r="AE18" s="59"/>
      <c r="AH18" s="168"/>
      <c r="AI18" s="165"/>
      <c r="AJ18" s="72"/>
      <c r="AK18" s="85"/>
      <c r="AL18" s="78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6"/>
    </row>
    <row r="19" spans="2:50" s="1" customFormat="1" ht="16" x14ac:dyDescent="0.4">
      <c r="B19" s="93" t="s">
        <v>30</v>
      </c>
      <c r="C19" s="18">
        <v>0</v>
      </c>
      <c r="D19" s="106"/>
      <c r="E19" s="55"/>
      <c r="F19" s="139"/>
      <c r="G19" s="40"/>
      <c r="H19" s="107"/>
      <c r="I19" s="52"/>
      <c r="J19" s="204"/>
      <c r="K19" s="204"/>
      <c r="L19" s="210">
        <f>C19-I19</f>
        <v>0</v>
      </c>
      <c r="M19" s="211"/>
      <c r="N19" s="192"/>
      <c r="O19" s="192"/>
      <c r="P19" s="192"/>
      <c r="Q19" s="192"/>
      <c r="R19" s="192"/>
      <c r="S19" s="192"/>
      <c r="T19" s="192"/>
      <c r="U19" s="192"/>
      <c r="W19" s="51"/>
      <c r="X19" s="51"/>
      <c r="Y19" s="51"/>
      <c r="Z19" s="51"/>
      <c r="AA19" s="51"/>
      <c r="AB19" s="51"/>
      <c r="AC19" s="51"/>
      <c r="AD19" s="51"/>
      <c r="AE19" s="59">
        <v>0.32291666666666702</v>
      </c>
      <c r="AH19" s="212">
        <v>0.33333333333333298</v>
      </c>
      <c r="AI19" s="166" t="s">
        <v>28</v>
      </c>
      <c r="AJ19" s="69"/>
      <c r="AK19" s="75"/>
      <c r="AL19" s="77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9"/>
    </row>
    <row r="20" spans="2:50" s="1" customFormat="1" ht="18.5" x14ac:dyDescent="0.45">
      <c r="B20" s="96" t="s">
        <v>46</v>
      </c>
      <c r="C20" s="38">
        <v>45</v>
      </c>
      <c r="D20" s="108"/>
      <c r="E20" s="109"/>
      <c r="F20" s="143"/>
      <c r="G20" s="109"/>
      <c r="H20" s="109"/>
      <c r="I20" s="38"/>
      <c r="J20" s="146"/>
      <c r="K20" s="146"/>
      <c r="L20" s="150"/>
      <c r="M20" s="150"/>
      <c r="N20" s="95"/>
      <c r="O20" s="95"/>
      <c r="P20" s="95"/>
      <c r="Q20" s="95"/>
      <c r="R20" s="95"/>
      <c r="S20" s="95"/>
      <c r="T20" s="95"/>
      <c r="U20" s="88"/>
      <c r="W20" s="51"/>
      <c r="X20" s="51"/>
      <c r="Y20" s="51"/>
      <c r="Z20" s="51"/>
      <c r="AA20" s="51"/>
      <c r="AB20" s="51"/>
      <c r="AC20" s="51"/>
      <c r="AD20" s="51"/>
      <c r="AE20" s="59">
        <v>0.33333333333333298</v>
      </c>
      <c r="AH20" s="213"/>
      <c r="AI20" s="171" t="s">
        <v>29</v>
      </c>
      <c r="AJ20" s="70"/>
      <c r="AK20" s="76"/>
      <c r="AL20" s="78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7"/>
    </row>
    <row r="21" spans="2:50" s="1" customFormat="1" ht="16" x14ac:dyDescent="0.4">
      <c r="B21" s="215" t="s">
        <v>9</v>
      </c>
      <c r="C21" s="216" t="s">
        <v>10</v>
      </c>
      <c r="D21" s="217" t="s">
        <v>19</v>
      </c>
      <c r="E21" s="217"/>
      <c r="F21" s="218" t="s">
        <v>11</v>
      </c>
      <c r="G21" s="218"/>
      <c r="H21" s="219" t="s">
        <v>12</v>
      </c>
      <c r="I21" s="217"/>
      <c r="J21" s="220" t="s">
        <v>13</v>
      </c>
      <c r="K21" s="220"/>
      <c r="L21" s="219" t="s">
        <v>14</v>
      </c>
      <c r="M21" s="217"/>
      <c r="N21" s="221" t="s">
        <v>4</v>
      </c>
      <c r="O21" s="221"/>
      <c r="P21" s="221"/>
      <c r="Q21" s="221"/>
      <c r="R21" s="221"/>
      <c r="S21" s="221"/>
      <c r="T21" s="221"/>
      <c r="U21" s="221"/>
      <c r="V21" s="1" t="s">
        <v>38</v>
      </c>
      <c r="W21" s="51"/>
      <c r="X21" s="51"/>
      <c r="Y21" s="51"/>
      <c r="Z21" s="51"/>
      <c r="AA21" s="51"/>
      <c r="AB21" s="51"/>
      <c r="AC21" s="51"/>
      <c r="AD21" s="51"/>
      <c r="AE21" s="59">
        <v>0.34375</v>
      </c>
      <c r="AI21" s="66" t="s">
        <v>31</v>
      </c>
      <c r="AJ21" s="80">
        <v>89</v>
      </c>
      <c r="AK21" s="73">
        <v>0</v>
      </c>
      <c r="AL21" s="77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9"/>
    </row>
    <row r="22" spans="2:50" s="1" customFormat="1" ht="16" x14ac:dyDescent="0.4">
      <c r="B22" s="215"/>
      <c r="C22" s="216"/>
      <c r="D22" s="32" t="s">
        <v>2</v>
      </c>
      <c r="E22" s="32" t="s">
        <v>3</v>
      </c>
      <c r="F22" s="9" t="s">
        <v>2</v>
      </c>
      <c r="G22" s="33" t="s">
        <v>3</v>
      </c>
      <c r="H22" s="32" t="s">
        <v>2</v>
      </c>
      <c r="I22" s="44" t="s">
        <v>3</v>
      </c>
      <c r="J22" s="220"/>
      <c r="K22" s="220"/>
      <c r="L22" s="9" t="s">
        <v>2</v>
      </c>
      <c r="M22" s="27" t="s">
        <v>3</v>
      </c>
      <c r="N22" s="221"/>
      <c r="O22" s="221"/>
      <c r="P22" s="221"/>
      <c r="Q22" s="221"/>
      <c r="R22" s="221"/>
      <c r="S22" s="221"/>
      <c r="T22" s="221"/>
      <c r="U22" s="221"/>
      <c r="W22" s="51"/>
      <c r="X22" s="51"/>
      <c r="Y22" s="51"/>
      <c r="Z22" s="51"/>
      <c r="AA22" s="51"/>
      <c r="AB22" s="51"/>
      <c r="AC22" s="51"/>
      <c r="AD22" s="51"/>
      <c r="AE22" s="59">
        <v>0.35416666666666602</v>
      </c>
      <c r="AI22" s="67" t="s">
        <v>32</v>
      </c>
      <c r="AJ22" s="81">
        <v>10</v>
      </c>
      <c r="AK22" s="74">
        <v>0</v>
      </c>
      <c r="AL22" s="78"/>
      <c r="AM22" s="186" t="s">
        <v>55</v>
      </c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7"/>
    </row>
    <row r="23" spans="2:50" s="1" customFormat="1" ht="16" x14ac:dyDescent="0.4">
      <c r="B23" s="14" t="s">
        <v>5</v>
      </c>
      <c r="C23" s="40">
        <v>2</v>
      </c>
      <c r="D23" s="45"/>
      <c r="E23" s="28"/>
      <c r="F23" s="111">
        <v>4</v>
      </c>
      <c r="G23" s="112">
        <v>4</v>
      </c>
      <c r="H23" s="113">
        <f>C23</f>
        <v>2</v>
      </c>
      <c r="I23" s="147"/>
      <c r="J23" s="222">
        <f t="shared" ref="J23:J28" si="0">C23-I23</f>
        <v>2</v>
      </c>
      <c r="K23" s="222"/>
      <c r="L23" s="2">
        <f>I23-C23</f>
        <v>-2</v>
      </c>
      <c r="M23" s="158">
        <f>IFERROR((I23/C23),0)</f>
        <v>0</v>
      </c>
      <c r="N23" s="227"/>
      <c r="O23" s="228"/>
      <c r="P23" s="228"/>
      <c r="Q23" s="228"/>
      <c r="R23" s="228"/>
      <c r="S23" s="228"/>
      <c r="T23" s="228"/>
      <c r="U23" s="229"/>
      <c r="W23" s="51"/>
      <c r="X23" s="51"/>
      <c r="Y23" s="51"/>
      <c r="Z23" s="51"/>
      <c r="AA23" s="51"/>
      <c r="AB23" s="51"/>
      <c r="AC23" s="51"/>
      <c r="AD23" s="51"/>
      <c r="AE23" s="59">
        <v>0.3576388888888889</v>
      </c>
      <c r="AI23" s="66" t="s">
        <v>33</v>
      </c>
      <c r="AJ23" s="82">
        <v>0.98780000000000001</v>
      </c>
      <c r="AK23" s="100">
        <v>0.98</v>
      </c>
      <c r="AL23" s="77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9"/>
    </row>
    <row r="24" spans="2:50" s="1" customFormat="1" ht="15" customHeight="1" x14ac:dyDescent="0.4">
      <c r="B24" s="15" t="s">
        <v>6</v>
      </c>
      <c r="C24" s="38">
        <v>0</v>
      </c>
      <c r="D24" s="36"/>
      <c r="E24" s="29"/>
      <c r="F24" s="114">
        <v>205</v>
      </c>
      <c r="G24" s="115">
        <f>(C24/7.25)*5.5</f>
        <v>0</v>
      </c>
      <c r="H24" s="113">
        <f>C24</f>
        <v>0</v>
      </c>
      <c r="I24" s="116"/>
      <c r="J24" s="190">
        <f t="shared" si="0"/>
        <v>0</v>
      </c>
      <c r="K24" s="190"/>
      <c r="L24" s="2">
        <f>I24-C24</f>
        <v>0</v>
      </c>
      <c r="M24" s="158">
        <f>IFERROR((I24/C24),0)</f>
        <v>0</v>
      </c>
      <c r="N24" s="223"/>
      <c r="O24" s="224"/>
      <c r="P24" s="224"/>
      <c r="Q24" s="224"/>
      <c r="R24" s="224"/>
      <c r="S24" s="224"/>
      <c r="T24" s="224"/>
      <c r="U24" s="225"/>
      <c r="W24" s="51"/>
      <c r="X24" s="51"/>
      <c r="Y24" s="51"/>
      <c r="Z24" s="51"/>
      <c r="AA24" s="51"/>
      <c r="AB24" s="51"/>
      <c r="AC24" s="51"/>
      <c r="AD24" s="51"/>
      <c r="AE24" s="59">
        <v>0.36111111111111199</v>
      </c>
      <c r="AI24" s="67" t="s">
        <v>34</v>
      </c>
      <c r="AJ24" s="86" t="s">
        <v>56</v>
      </c>
      <c r="AK24" s="101">
        <v>0.95</v>
      </c>
      <c r="AL24" s="78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7"/>
    </row>
    <row r="25" spans="2:50" s="1" customFormat="1" ht="15" customHeight="1" x14ac:dyDescent="0.4">
      <c r="B25" s="15" t="s">
        <v>7</v>
      </c>
      <c r="C25" s="42">
        <v>0</v>
      </c>
      <c r="D25" s="46"/>
      <c r="E25" s="30"/>
      <c r="F25" s="114">
        <v>149</v>
      </c>
      <c r="G25" s="117">
        <f>(C25/7.25)*5.5</f>
        <v>0</v>
      </c>
      <c r="H25" s="113">
        <f>C25</f>
        <v>0</v>
      </c>
      <c r="I25" s="147"/>
      <c r="J25" s="222">
        <f t="shared" si="0"/>
        <v>0</v>
      </c>
      <c r="K25" s="222"/>
      <c r="L25" s="2">
        <f>I25-C25</f>
        <v>0</v>
      </c>
      <c r="M25" s="158">
        <f>IFERROR((I25/C25),0)</f>
        <v>0</v>
      </c>
      <c r="N25" s="161"/>
      <c r="U25" s="162"/>
      <c r="W25" s="51"/>
      <c r="X25" s="51"/>
      <c r="Y25" s="51"/>
      <c r="Z25" s="51"/>
      <c r="AA25" s="51"/>
      <c r="AB25" s="51"/>
      <c r="AC25" s="51"/>
      <c r="AD25" s="51"/>
      <c r="AE25" s="59">
        <v>0.36458333333333498</v>
      </c>
      <c r="AI25" s="66" t="s">
        <v>35</v>
      </c>
      <c r="AJ25" s="80">
        <v>0</v>
      </c>
      <c r="AK25" s="73">
        <v>3</v>
      </c>
      <c r="AL25" s="77"/>
      <c r="AM25" s="188" t="s">
        <v>57</v>
      </c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9"/>
    </row>
    <row r="26" spans="2:50" s="1" customFormat="1" x14ac:dyDescent="0.35">
      <c r="B26" s="23" t="s">
        <v>16</v>
      </c>
      <c r="C26" s="47">
        <v>0</v>
      </c>
      <c r="D26" s="18"/>
      <c r="E26" s="18"/>
      <c r="F26" s="118"/>
      <c r="G26" s="119"/>
      <c r="H26" s="102">
        <v>0</v>
      </c>
      <c r="I26" s="116"/>
      <c r="J26" s="190">
        <f t="shared" si="0"/>
        <v>0</v>
      </c>
      <c r="K26" s="190"/>
      <c r="L26" s="223">
        <f>C26-I26</f>
        <v>0</v>
      </c>
      <c r="M26" s="223"/>
      <c r="N26" s="223"/>
      <c r="O26" s="224"/>
      <c r="P26" s="224"/>
      <c r="Q26" s="224"/>
      <c r="R26" s="224"/>
      <c r="S26" s="224"/>
      <c r="T26" s="224"/>
      <c r="U26" s="225"/>
      <c r="W26" s="51"/>
      <c r="X26" s="51"/>
      <c r="Y26" s="51"/>
      <c r="Z26" s="51"/>
      <c r="AA26" s="51"/>
      <c r="AB26" s="51"/>
      <c r="AC26" s="51"/>
      <c r="AD26" s="51"/>
      <c r="AE26" s="59">
        <v>0.36805555555555802</v>
      </c>
      <c r="AJ26" s="5"/>
      <c r="AK26" s="5"/>
      <c r="AL26" s="5"/>
      <c r="AM26" s="5"/>
    </row>
    <row r="27" spans="2:50" s="1" customFormat="1" x14ac:dyDescent="0.35">
      <c r="B27" s="23" t="s">
        <v>17</v>
      </c>
      <c r="C27" s="37">
        <v>0</v>
      </c>
      <c r="D27" s="18"/>
      <c r="E27" s="18"/>
      <c r="F27" s="118"/>
      <c r="G27" s="120"/>
      <c r="H27" s="102">
        <v>0</v>
      </c>
      <c r="I27" s="147"/>
      <c r="J27" s="222">
        <f t="shared" si="0"/>
        <v>0</v>
      </c>
      <c r="K27" s="222"/>
      <c r="L27" s="226">
        <f>C27-I27</f>
        <v>0</v>
      </c>
      <c r="M27" s="226"/>
      <c r="N27" s="223"/>
      <c r="O27" s="224"/>
      <c r="P27" s="224"/>
      <c r="Q27" s="224"/>
      <c r="R27" s="224"/>
      <c r="S27" s="224"/>
      <c r="T27" s="224"/>
      <c r="U27" s="225"/>
      <c r="W27" s="51"/>
      <c r="X27" s="51"/>
      <c r="Y27" s="51"/>
      <c r="Z27" s="51"/>
      <c r="AA27" s="51"/>
      <c r="AB27" s="51"/>
      <c r="AC27" s="51"/>
      <c r="AD27" s="51"/>
      <c r="AE27" s="59">
        <v>0.37152777777778001</v>
      </c>
      <c r="AJ27" s="5"/>
    </row>
    <row r="28" spans="2:50" s="1" customFormat="1" ht="15" thickBot="1" x14ac:dyDescent="0.4">
      <c r="B28" s="23" t="s">
        <v>15</v>
      </c>
      <c r="C28" s="38"/>
      <c r="D28" s="36"/>
      <c r="E28" s="31"/>
      <c r="F28" s="118"/>
      <c r="G28" s="120"/>
      <c r="H28" s="102">
        <v>0</v>
      </c>
      <c r="I28" s="116"/>
      <c r="J28" s="190">
        <f t="shared" si="0"/>
        <v>0</v>
      </c>
      <c r="K28" s="190"/>
      <c r="L28" s="2">
        <f>I28-C28</f>
        <v>0</v>
      </c>
      <c r="M28" s="158">
        <f>IFERROR((I28/C28),0)</f>
        <v>0</v>
      </c>
      <c r="N28" s="223"/>
      <c r="O28" s="224"/>
      <c r="P28" s="224"/>
      <c r="Q28" s="224"/>
      <c r="R28" s="224"/>
      <c r="S28" s="224"/>
      <c r="T28" s="224"/>
      <c r="U28" s="225"/>
      <c r="W28" s="51"/>
      <c r="X28" s="51"/>
      <c r="Y28" s="51"/>
      <c r="Z28" s="51"/>
      <c r="AA28" s="51"/>
      <c r="AB28" s="51"/>
      <c r="AC28" s="51"/>
      <c r="AD28" s="51"/>
      <c r="AE28" s="59">
        <v>0.375000000000003</v>
      </c>
    </row>
    <row r="29" spans="2:50" s="1" customFormat="1" ht="15" thickBot="1" x14ac:dyDescent="0.4">
      <c r="B29" s="50" t="s">
        <v>36</v>
      </c>
      <c r="C29" s="43"/>
      <c r="D29" s="31"/>
      <c r="E29" s="31"/>
      <c r="F29" s="118"/>
      <c r="G29" s="131">
        <f>SUM(G26:G27)*0.8</f>
        <v>0</v>
      </c>
      <c r="H29" s="102"/>
      <c r="I29" s="148"/>
      <c r="J29" s="205"/>
      <c r="K29" s="205"/>
      <c r="L29" s="49"/>
      <c r="M29" s="87"/>
      <c r="N29" s="163"/>
      <c r="O29" s="24"/>
      <c r="P29" s="24"/>
      <c r="Q29" s="24"/>
      <c r="R29" s="24"/>
      <c r="S29" s="24"/>
      <c r="T29" s="24"/>
      <c r="U29" s="164"/>
      <c r="W29" s="51"/>
      <c r="X29" s="51"/>
      <c r="Y29" s="51"/>
      <c r="Z29" s="51"/>
      <c r="AA29" s="51"/>
      <c r="AB29" s="51"/>
      <c r="AC29" s="51"/>
      <c r="AD29" s="51"/>
      <c r="AE29" s="59">
        <v>0.37847222222222598</v>
      </c>
    </row>
    <row r="30" spans="2:50" s="1" customFormat="1" ht="15" thickBot="1" x14ac:dyDescent="0.4">
      <c r="B30" s="16" t="s">
        <v>8</v>
      </c>
      <c r="C30" s="38">
        <v>1428</v>
      </c>
      <c r="D30" s="36"/>
      <c r="E30" s="31"/>
      <c r="F30" s="118">
        <v>1294</v>
      </c>
      <c r="G30" s="121"/>
      <c r="H30" s="113">
        <f>C30</f>
        <v>1428</v>
      </c>
      <c r="I30" s="116"/>
      <c r="J30" s="190">
        <f>C30-I30</f>
        <v>1428</v>
      </c>
      <c r="K30" s="190"/>
      <c r="L30" s="2">
        <f>I30-C30</f>
        <v>-1428</v>
      </c>
      <c r="M30" s="158">
        <f>IFERROR((I30/C30),0)</f>
        <v>0</v>
      </c>
      <c r="N30" s="223"/>
      <c r="O30" s="224"/>
      <c r="P30" s="224"/>
      <c r="Q30" s="224"/>
      <c r="R30" s="224"/>
      <c r="S30" s="224"/>
      <c r="T30" s="224"/>
      <c r="U30" s="225"/>
      <c r="W30" s="51"/>
      <c r="X30" s="51"/>
      <c r="Y30" s="51"/>
      <c r="Z30" s="51"/>
      <c r="AA30" s="51"/>
      <c r="AB30" s="51"/>
      <c r="AC30" s="51"/>
      <c r="AD30" s="51"/>
      <c r="AE30" s="59">
        <v>0.38194444444444903</v>
      </c>
    </row>
    <row r="31" spans="2:50" s="1" customFormat="1" ht="15" thickBot="1" x14ac:dyDescent="0.4">
      <c r="B31" s="23" t="s">
        <v>16</v>
      </c>
      <c r="C31" s="25">
        <v>0</v>
      </c>
      <c r="D31" s="25"/>
      <c r="E31" s="25"/>
      <c r="F31" s="20">
        <v>0</v>
      </c>
      <c r="G31" s="122"/>
      <c r="H31" s="107">
        <v>0</v>
      </c>
      <c r="I31" s="147"/>
      <c r="J31" s="203">
        <f>G31-F31</f>
        <v>0</v>
      </c>
      <c r="K31" s="203"/>
      <c r="L31" s="226">
        <f>C31-I31</f>
        <v>0</v>
      </c>
      <c r="M31" s="226"/>
      <c r="N31" s="223"/>
      <c r="O31" s="224"/>
      <c r="P31" s="224"/>
      <c r="Q31" s="224"/>
      <c r="R31" s="224"/>
      <c r="S31" s="224"/>
      <c r="T31" s="224"/>
      <c r="U31" s="225"/>
      <c r="W31" s="51"/>
      <c r="X31" s="51"/>
      <c r="Y31" s="51"/>
      <c r="Z31" s="51"/>
      <c r="AA31" s="51"/>
      <c r="AB31" s="51"/>
      <c r="AC31" s="51"/>
      <c r="AD31" s="51"/>
      <c r="AE31" s="59">
        <v>0.38541666666667201</v>
      </c>
    </row>
    <row r="32" spans="2:50" s="1" customFormat="1" ht="15" thickBot="1" x14ac:dyDescent="0.4">
      <c r="B32" s="23" t="s">
        <v>17</v>
      </c>
      <c r="C32" s="26">
        <v>0</v>
      </c>
      <c r="D32" s="26"/>
      <c r="E32" s="26"/>
      <c r="F32" s="22">
        <v>0</v>
      </c>
      <c r="G32" s="123"/>
      <c r="H32" s="107">
        <v>0</v>
      </c>
      <c r="I32" s="116"/>
      <c r="J32" s="201">
        <f>G32-F32</f>
        <v>0</v>
      </c>
      <c r="K32" s="201"/>
      <c r="L32" s="223">
        <f>C32-I32</f>
        <v>0</v>
      </c>
      <c r="M32" s="223"/>
      <c r="N32" s="223"/>
      <c r="O32" s="224"/>
      <c r="P32" s="224"/>
      <c r="Q32" s="224"/>
      <c r="R32" s="224"/>
      <c r="S32" s="224"/>
      <c r="T32" s="224"/>
      <c r="U32" s="225"/>
      <c r="W32" s="51"/>
      <c r="X32" s="51"/>
      <c r="Y32" s="51"/>
      <c r="Z32" s="51"/>
      <c r="AA32" s="51"/>
      <c r="AB32" s="51"/>
      <c r="AC32" s="51"/>
      <c r="AD32" s="51"/>
      <c r="AE32" s="59">
        <v>0.388888888888895</v>
      </c>
    </row>
    <row r="33" spans="2:31" s="1" customFormat="1" ht="15" thickBot="1" x14ac:dyDescent="0.4">
      <c r="B33" s="23" t="s">
        <v>15</v>
      </c>
      <c r="C33" s="38"/>
      <c r="D33" s="36"/>
      <c r="E33" s="39"/>
      <c r="F33" s="118"/>
      <c r="G33" s="118"/>
      <c r="H33" s="107">
        <v>0</v>
      </c>
      <c r="I33" s="147"/>
      <c r="J33" s="222">
        <f>I33-C33</f>
        <v>0</v>
      </c>
      <c r="K33" s="222"/>
      <c r="L33" s="226">
        <f>I33-C33</f>
        <v>0</v>
      </c>
      <c r="M33" s="226"/>
      <c r="N33" s="223"/>
      <c r="O33" s="224"/>
      <c r="P33" s="224"/>
      <c r="Q33" s="224"/>
      <c r="R33" s="224"/>
      <c r="S33" s="224"/>
      <c r="T33" s="224"/>
      <c r="U33" s="225"/>
      <c r="W33" s="51"/>
      <c r="X33" s="51"/>
      <c r="Y33" s="51"/>
      <c r="Z33" s="51"/>
      <c r="AA33" s="51"/>
      <c r="AB33" s="51"/>
      <c r="AC33" s="51"/>
      <c r="AD33" s="51"/>
      <c r="AE33" s="59">
        <v>0.39236111111111799</v>
      </c>
    </row>
    <row r="34" spans="2:31" s="1" customFormat="1" ht="15" thickBot="1" x14ac:dyDescent="0.4">
      <c r="B34" s="50" t="s">
        <v>36</v>
      </c>
      <c r="C34" s="18"/>
      <c r="D34" s="105"/>
      <c r="E34" s="39"/>
      <c r="F34" s="105"/>
      <c r="G34" s="41">
        <f>SUM(G31:G32)*0.8</f>
        <v>0</v>
      </c>
      <c r="H34" s="107"/>
      <c r="I34" s="57"/>
      <c r="J34" s="204"/>
      <c r="K34" s="204"/>
      <c r="L34" s="49"/>
      <c r="M34" s="87"/>
      <c r="N34" s="163"/>
      <c r="O34" s="24"/>
      <c r="P34" s="24"/>
      <c r="Q34" s="24"/>
      <c r="R34" s="24"/>
      <c r="S34" s="24"/>
      <c r="T34" s="24"/>
      <c r="U34" s="164"/>
      <c r="W34" s="51"/>
      <c r="X34" s="51"/>
      <c r="Y34" s="51"/>
      <c r="Z34" s="51"/>
      <c r="AA34" s="51"/>
      <c r="AB34" s="51"/>
      <c r="AC34" s="51"/>
      <c r="AD34" s="51"/>
      <c r="AE34" s="59">
        <v>0.39583333333334098</v>
      </c>
    </row>
    <row r="35" spans="2:31" s="1" customFormat="1" ht="18.649999999999999" customHeight="1" thickBot="1" x14ac:dyDescent="0.4">
      <c r="B35" s="50" t="s">
        <v>45</v>
      </c>
      <c r="C35" s="18"/>
      <c r="D35" s="105"/>
      <c r="E35" s="18"/>
      <c r="F35" s="105"/>
      <c r="G35" s="105"/>
      <c r="H35" s="105"/>
      <c r="I35" s="38"/>
      <c r="J35" s="230"/>
      <c r="K35" s="230"/>
      <c r="L35" s="87"/>
      <c r="M35" s="87"/>
      <c r="N35" s="231"/>
      <c r="O35" s="232"/>
      <c r="P35" s="232"/>
      <c r="Q35" s="232"/>
      <c r="R35" s="232"/>
      <c r="S35" s="232"/>
      <c r="T35" s="232"/>
      <c r="U35" s="233"/>
      <c r="W35" s="51"/>
      <c r="X35" s="51"/>
      <c r="Y35" s="51"/>
      <c r="Z35" s="51"/>
      <c r="AA35" s="51"/>
      <c r="AB35" s="51"/>
      <c r="AC35" s="51"/>
      <c r="AD35" s="51"/>
      <c r="AE35" s="59">
        <v>0.39930555555556302</v>
      </c>
    </row>
    <row r="36" spans="2:31" s="1" customFormat="1" ht="15" thickBot="1" x14ac:dyDescent="0.4">
      <c r="B36" s="3" t="s">
        <v>37</v>
      </c>
      <c r="C36" s="13">
        <f>SUM(C11,C15,C24,C30,C20)</f>
        <v>4507</v>
      </c>
      <c r="D36" s="19"/>
      <c r="E36" s="19"/>
      <c r="F36" s="7"/>
      <c r="G36" s="19"/>
      <c r="H36" s="7"/>
      <c r="I36" s="13">
        <f>SUM(I11,I15,I24,I30)</f>
        <v>0</v>
      </c>
      <c r="J36" s="234"/>
      <c r="K36" s="234"/>
      <c r="L36" s="4">
        <f>I36-C36</f>
        <v>-4507</v>
      </c>
      <c r="M36" s="159">
        <f>IFERROR((I36/C36),0)</f>
        <v>0</v>
      </c>
      <c r="N36" s="210"/>
      <c r="O36" s="235"/>
      <c r="P36" s="235"/>
      <c r="Q36" s="235"/>
      <c r="R36" s="235"/>
      <c r="S36" s="235"/>
      <c r="T36" s="235"/>
      <c r="U36" s="236"/>
      <c r="W36" s="51"/>
      <c r="X36" s="51"/>
      <c r="Y36" s="51"/>
      <c r="Z36" s="51"/>
      <c r="AA36" s="51"/>
      <c r="AB36" s="51"/>
      <c r="AC36" s="51"/>
      <c r="AD36" s="51"/>
      <c r="AE36" s="59">
        <v>0.40277777777778601</v>
      </c>
    </row>
    <row r="37" spans="2:31" s="1" customFormat="1" x14ac:dyDescent="0.35">
      <c r="W37" s="51"/>
      <c r="X37" s="51"/>
      <c r="Y37" s="51"/>
      <c r="Z37" s="51"/>
      <c r="AA37" s="51"/>
      <c r="AB37" s="51"/>
      <c r="AC37" s="51"/>
      <c r="AD37" s="51"/>
      <c r="AE37" s="58"/>
    </row>
  </sheetData>
  <mergeCells count="99">
    <mergeCell ref="J35:K35"/>
    <mergeCell ref="N35:U35"/>
    <mergeCell ref="J36:K36"/>
    <mergeCell ref="N36:U36"/>
    <mergeCell ref="J33:K33"/>
    <mergeCell ref="L33:M33"/>
    <mergeCell ref="N33:U33"/>
    <mergeCell ref="J34:K34"/>
    <mergeCell ref="J31:K31"/>
    <mergeCell ref="L31:M31"/>
    <mergeCell ref="N31:U31"/>
    <mergeCell ref="J32:K32"/>
    <mergeCell ref="L32:M32"/>
    <mergeCell ref="N32:U32"/>
    <mergeCell ref="J28:K28"/>
    <mergeCell ref="N28:U28"/>
    <mergeCell ref="J29:K29"/>
    <mergeCell ref="J30:K30"/>
    <mergeCell ref="N30:U30"/>
    <mergeCell ref="J25:K25"/>
    <mergeCell ref="AM25:AX25"/>
    <mergeCell ref="J26:K26"/>
    <mergeCell ref="L26:M26"/>
    <mergeCell ref="N26:U26"/>
    <mergeCell ref="J27:K27"/>
    <mergeCell ref="L27:M27"/>
    <mergeCell ref="N27:U27"/>
    <mergeCell ref="AM21:AX21"/>
    <mergeCell ref="AM22:AX22"/>
    <mergeCell ref="J23:K23"/>
    <mergeCell ref="N23:U23"/>
    <mergeCell ref="AM23:AX23"/>
    <mergeCell ref="J24:K24"/>
    <mergeCell ref="N24:U24"/>
    <mergeCell ref="AM24:AX24"/>
    <mergeCell ref="AM19:AX19"/>
    <mergeCell ref="AM20:AX20"/>
    <mergeCell ref="B21:B22"/>
    <mergeCell ref="C21:C22"/>
    <mergeCell ref="D21:E21"/>
    <mergeCell ref="F21:G21"/>
    <mergeCell ref="H21:I21"/>
    <mergeCell ref="J21:K22"/>
    <mergeCell ref="L21:M21"/>
    <mergeCell ref="N21:U22"/>
    <mergeCell ref="L18:M18"/>
    <mergeCell ref="N18:U18"/>
    <mergeCell ref="J19:K19"/>
    <mergeCell ref="L19:M19"/>
    <mergeCell ref="N19:U19"/>
    <mergeCell ref="AH19:AH20"/>
    <mergeCell ref="J16:K16"/>
    <mergeCell ref="N16:U16"/>
    <mergeCell ref="AH16:AH17"/>
    <mergeCell ref="AM16:AX16"/>
    <mergeCell ref="J17:K17"/>
    <mergeCell ref="L17:M17"/>
    <mergeCell ref="N17:U17"/>
    <mergeCell ref="AM17:AX17"/>
    <mergeCell ref="J14:K14"/>
    <mergeCell ref="L14:M14"/>
    <mergeCell ref="N14:U14"/>
    <mergeCell ref="AM14:AX14"/>
    <mergeCell ref="J15:K15"/>
    <mergeCell ref="N15:U15"/>
    <mergeCell ref="AM15:AX15"/>
    <mergeCell ref="J12:K12"/>
    <mergeCell ref="N12:U12"/>
    <mergeCell ref="AM12:AX12"/>
    <mergeCell ref="J13:K13"/>
    <mergeCell ref="N13:U13"/>
    <mergeCell ref="AM13:AX13"/>
    <mergeCell ref="J9:K9"/>
    <mergeCell ref="N9:U9"/>
    <mergeCell ref="J10:K10"/>
    <mergeCell ref="N10:U10"/>
    <mergeCell ref="AM10:AX10"/>
    <mergeCell ref="J11:K11"/>
    <mergeCell ref="N11:U11"/>
    <mergeCell ref="AM11:AX11"/>
    <mergeCell ref="J8:K8"/>
    <mergeCell ref="N8:U8"/>
    <mergeCell ref="AM8:AX8"/>
    <mergeCell ref="B6:B7"/>
    <mergeCell ref="C6:C7"/>
    <mergeCell ref="D6:E6"/>
    <mergeCell ref="F6:G6"/>
    <mergeCell ref="H6:I6"/>
    <mergeCell ref="J6:K7"/>
    <mergeCell ref="C1:F3"/>
    <mergeCell ref="AT3:AX3"/>
    <mergeCell ref="Q4:U4"/>
    <mergeCell ref="AI4:AX4"/>
    <mergeCell ref="B5:U5"/>
    <mergeCell ref="AM5:AX5"/>
    <mergeCell ref="L6:M6"/>
    <mergeCell ref="N6:U7"/>
    <mergeCell ref="AM6:AX6"/>
    <mergeCell ref="AM7:AX7"/>
  </mergeCells>
  <conditionalFormatting sqref="G29">
    <cfRule type="cellIs" dxfId="33" priority="9" operator="greaterThan">
      <formula>$C$24</formula>
    </cfRule>
    <cfRule type="cellIs" dxfId="32" priority="10" operator="lessThanOrEqual">
      <formula>$C$24</formula>
    </cfRule>
  </conditionalFormatting>
  <conditionalFormatting sqref="G34">
    <cfRule type="cellIs" dxfId="31" priority="3" operator="lessThanOrEqual">
      <formula>$C$30</formula>
    </cfRule>
    <cfRule type="cellIs" dxfId="30" priority="4" operator="greaterThan">
      <formula>$C$30</formula>
    </cfRule>
  </conditionalFormatting>
  <conditionalFormatting sqref="L8 L11:L19 L30:L33">
    <cfRule type="cellIs" dxfId="25" priority="13" operator="lessThan">
      <formula>0</formula>
    </cfRule>
    <cfRule type="cellIs" dxfId="24" priority="14" operator="greaterThanOrEqual">
      <formula>0</formula>
    </cfRule>
  </conditionalFormatting>
  <conditionalFormatting sqref="L23:L28">
    <cfRule type="cellIs" dxfId="23" priority="17" operator="lessThan">
      <formula>0</formula>
    </cfRule>
    <cfRule type="cellIs" dxfId="22" priority="18" operator="greaterThanOrEqual">
      <formula>0</formula>
    </cfRule>
  </conditionalFormatting>
  <conditionalFormatting sqref="L36">
    <cfRule type="cellIs" dxfId="21" priority="29" operator="lessThan">
      <formula>0</formula>
    </cfRule>
    <cfRule type="cellIs" dxfId="20" priority="30" operator="greaterThanOrEqual">
      <formula>0</formula>
    </cfRule>
  </conditionalFormatting>
  <conditionalFormatting sqref="M8 M11:M13 M15:M16">
    <cfRule type="cellIs" dxfId="11" priority="33" operator="lessThan">
      <formula>1</formula>
    </cfRule>
    <cfRule type="cellIs" dxfId="10" priority="34" operator="greaterThanOrEqual">
      <formula>1</formula>
    </cfRule>
  </conditionalFormatting>
  <conditionalFormatting sqref="M23:M25 M28 M30">
    <cfRule type="cellIs" dxfId="9" priority="19" operator="lessThan">
      <formula>1</formula>
    </cfRule>
    <cfRule type="cellIs" dxfId="8" priority="20" operator="greaterThanOrEqual">
      <formula>1</formula>
    </cfRule>
  </conditionalFormatting>
  <conditionalFormatting sqref="M36">
    <cfRule type="cellIs" dxfId="7" priority="31" operator="lessThan">
      <formula>1</formula>
    </cfRule>
    <cfRule type="cellIs" dxfId="6" priority="32" operator="greaterThanOrEqual">
      <formula>1</formula>
    </cfRule>
  </conditionalFormatting>
  <dataValidations disablePrompts="1" count="1">
    <dataValidation type="list" allowBlank="1" showInputMessage="1" showErrorMessage="1" sqref="AJ16:AJ20 AH16:AH20" xr:uid="{A08C4E87-A46E-4FF2-98FA-03513A428350}">
      <formula1>$AE$15:$AE$36</formula1>
    </dataValidation>
  </dataValidations>
  <printOptions horizontalCentered="1" verticalCentered="1"/>
  <pageMargins left="0.25" right="0.25" top="0.75" bottom="0.75" header="0.3" footer="0.3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cd24c6-1190-41f0-a773-d389cc47da6f" xsi:nil="true"/>
    <P4_x002d_May xmlns="571d3712-0f46-4dfb-abf7-e1535e1508aa" xsi:nil="true"/>
    <WA09FW14DLP xmlns="571d3712-0f46-4dfb-abf7-e1535e1508aa" xsi:nil="true"/>
    <LastModified xmlns="571d3712-0f46-4dfb-abf7-e1535e1508aa" xsi:nil="true"/>
    <lcf76f155ced4ddcb4097134ff3c332f xmlns="571d3712-0f46-4dfb-abf7-e1535e1508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61095AB0770478C73C56B0E51E3F5" ma:contentTypeVersion="23" ma:contentTypeDescription="Create a new document." ma:contentTypeScope="" ma:versionID="880a932608ff643eaa95a62d9b428aff">
  <xsd:schema xmlns:xsd="http://www.w3.org/2001/XMLSchema" xmlns:xs="http://www.w3.org/2001/XMLSchema" xmlns:p="http://schemas.microsoft.com/office/2006/metadata/properties" xmlns:ns2="571d3712-0f46-4dfb-abf7-e1535e1508aa" xmlns:ns3="0bcd24c6-1190-41f0-a773-d389cc47da6f" targetNamespace="http://schemas.microsoft.com/office/2006/metadata/properties" ma:root="true" ma:fieldsID="8207af47dcd651588f327f8386c7a0d0" ns2:_="" ns3:_="">
    <xsd:import namespace="571d3712-0f46-4dfb-abf7-e1535e1508aa"/>
    <xsd:import namespace="0bcd24c6-1190-41f0-a773-d389cc47da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LastModified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BillingMetadata" minOccurs="0"/>
                <xsd:element ref="ns2:P4_x002d_May" minOccurs="0"/>
                <xsd:element ref="ns2:WA09FW14DLP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d3712-0f46-4dfb-abf7-e1535e150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astModified" ma:index="22" nillable="true" ma:displayName="Last Modified" ma:format="DateOnly" ma:internalName="LastModified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8b392ea-9282-45f5-80c6-5f47535a72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P4_x002d_May" ma:index="28" nillable="true" ma:displayName="P4-May" ma:description="WA09 DLP FW14 Revised" ma:format="Dropdown" ma:internalName="P4_x002d_May">
      <xsd:simpleType>
        <xsd:restriction base="dms:Text">
          <xsd:maxLength value="255"/>
        </xsd:restriction>
      </xsd:simpleType>
    </xsd:element>
    <xsd:element name="WA09FW14DLP" ma:index="29" nillable="true" ma:displayName="WA09 FW14 DLP" ma:format="Dropdown" ma:internalName="WA09FW14DLP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d24c6-1190-41f0-a773-d389cc47da6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f2f9b2a-0d19-4e91-8624-007de70a06f8}" ma:internalName="TaxCatchAll" ma:showField="CatchAllData" ma:web="0bcd24c6-1190-41f0-a773-d389cc47da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142E6A-0569-4264-95C3-36BECBD06271}">
  <ds:schemaRefs>
    <ds:schemaRef ds:uri="http://schemas.microsoft.com/office/2006/metadata/properties"/>
    <ds:schemaRef ds:uri="http://schemas.microsoft.com/office/infopath/2007/PartnerControls"/>
    <ds:schemaRef ds:uri="0bcd24c6-1190-41f0-a773-d389cc47da6f"/>
    <ds:schemaRef ds:uri="571d3712-0f46-4dfb-abf7-e1535e1508aa"/>
  </ds:schemaRefs>
</ds:datastoreItem>
</file>

<file path=customXml/itemProps2.xml><?xml version="1.0" encoding="utf-8"?>
<ds:datastoreItem xmlns:ds="http://schemas.openxmlformats.org/officeDocument/2006/customXml" ds:itemID="{BB06B2E3-B034-40E2-9497-2C373C2B6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1d3712-0f46-4dfb-abf7-e1535e1508aa"/>
    <ds:schemaRef ds:uri="0bcd24c6-1190-41f0-a773-d389cc47da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921024-B43A-45DC-B5E8-4AF4FE57AA6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ab8734f-e51d-4b5e-9a7a-351801de73c8}" enabled="1" method="Privileged" siteId="{fe99bbb3-bdc3-4260-998e-c28159c895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TU_0818</vt:lpstr>
    </vt:vector>
  </TitlesOfParts>
  <Manager/>
  <Company>HD Supply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Morales Rios, Julio C</dc:creator>
  <cp:keywords/>
  <dc:description/>
  <cp:lastModifiedBy>Pires, Pedro P</cp:lastModifiedBy>
  <cp:revision/>
  <dcterms:created xsi:type="dcterms:W3CDTF">2026-06-09T13:57:58Z</dcterms:created>
  <dcterms:modified xsi:type="dcterms:W3CDTF">2026-08-18T19:24:50Z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0x0101005E661095AB0770478C73C56B0E51E3F5</vt:lpwstr>
  </property>
  <property fmtid="{D5CDD505-2E9C-101B-9397-08002B2CF9AE}" pid="3" name="MediaServiceImageTags">
    <vt:lpwstr/>
  </property>
</Properties>
</file>