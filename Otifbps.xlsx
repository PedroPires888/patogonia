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5008\Downloads\"/>
    </mc:Choice>
  </mc:AlternateContent>
  <xr:revisionPtr revIDLastSave="0" documentId="8_{4E61D8BA-924B-4B30-B57C-AB97B5684FC3}" xr6:coauthVersionLast="47" xr6:coauthVersionMax="47" xr10:uidLastSave="{00000000-0000-0000-0000-000000000000}"/>
  <bookViews>
    <workbookView xWindow="-96" yWindow="-96" windowWidth="23232" windowHeight="12432" activeTab="2" xr2:uid="{05868782-283C-47DD-AF1B-4485A5A5F867}"/>
  </bookViews>
  <sheets>
    <sheet name="Sheet1" sheetId="1" r:id="rId1"/>
    <sheet name="wk02" sheetId="2" r:id="rId2"/>
    <sheet name="allwks" sheetId="3" r:id="rId3"/>
  </sheets>
  <definedNames>
    <definedName name="otif_pct">allwks!$G$4</definedName>
    <definedName name="total_failed">allwks!$G$3</definedName>
    <definedName name="total_lines">allwks!$G$2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D3" i="3" l="1"/>
  <c r="G4" i="3"/>
  <c r="D49" i="3" s="1"/>
  <c r="D50" i="3"/>
  <c r="D12" i="3"/>
  <c r="D31" i="3"/>
  <c r="D77" i="3"/>
  <c r="D92" i="3"/>
  <c r="D44" i="3"/>
  <c r="D59" i="3"/>
  <c r="D90" i="3"/>
  <c r="D8" i="3"/>
  <c r="D9" i="3"/>
  <c r="D82" i="3"/>
  <c r="D66" i="3"/>
  <c r="D18" i="3"/>
  <c r="D65" i="3"/>
  <c r="D33" i="3"/>
  <c r="D17" i="3"/>
  <c r="D32" i="3"/>
  <c r="D63" i="3"/>
  <c r="D15" i="3"/>
  <c r="D46" i="3"/>
  <c r="D14" i="3"/>
  <c r="D61" i="3"/>
  <c r="D13" i="3"/>
  <c r="D76" i="3"/>
  <c r="D28" i="3"/>
  <c r="D75" i="3"/>
  <c r="D27" i="3"/>
  <c r="D74" i="3"/>
  <c r="D42" i="3"/>
  <c r="D10" i="3"/>
  <c r="D73" i="3"/>
  <c r="D25" i="3"/>
  <c r="D72" i="3"/>
  <c r="D40" i="3"/>
  <c r="D87" i="3"/>
  <c r="D71" i="3"/>
  <c r="D39" i="3"/>
  <c r="D23" i="3"/>
  <c r="D70" i="3"/>
  <c r="D38" i="3"/>
  <c r="D22" i="3"/>
  <c r="D85" i="3"/>
  <c r="D53" i="3"/>
  <c r="D5" i="3"/>
  <c r="D84" i="3"/>
  <c r="D68" i="3"/>
  <c r="D52" i="3"/>
  <c r="D36" i="3"/>
  <c r="D20" i="3"/>
  <c r="D4" i="3"/>
  <c r="D80" i="3"/>
  <c r="D48" i="3"/>
  <c r="D16" i="3"/>
  <c r="D47" i="3"/>
  <c r="D2" i="3"/>
  <c r="D62" i="3"/>
  <c r="D93" i="3"/>
  <c r="D29" i="3"/>
  <c r="D60" i="3"/>
  <c r="D91" i="3"/>
  <c r="D43" i="3"/>
  <c r="D11" i="3"/>
  <c r="D58" i="3"/>
  <c r="D26" i="3"/>
  <c r="D89" i="3"/>
  <c r="D57" i="3"/>
  <c r="D41" i="3"/>
  <c r="D88" i="3"/>
  <c r="D56" i="3"/>
  <c r="D24" i="3"/>
  <c r="D55" i="3"/>
  <c r="D7" i="3"/>
  <c r="D86" i="3"/>
  <c r="D54" i="3"/>
  <c r="D6" i="3"/>
  <c r="D69" i="3"/>
  <c r="D37" i="3"/>
  <c r="D21" i="3"/>
  <c r="D83" i="3"/>
  <c r="D67" i="3"/>
  <c r="D51" i="3"/>
  <c r="D35" i="3"/>
  <c r="D19" i="3"/>
  <c r="C15" i="1"/>
  <c r="B15" i="1"/>
  <c r="D13" i="1"/>
  <c r="D12" i="1"/>
  <c r="D11" i="1"/>
  <c r="C6" i="1"/>
  <c r="B6" i="1"/>
  <c r="D45" i="3" l="1"/>
  <c r="D30" i="3"/>
  <c r="D78" i="3"/>
  <c r="D79" i="3"/>
  <c r="D64" i="3"/>
  <c r="D81" i="3"/>
  <c r="D34" i="3"/>
  <c r="D15" i="1"/>
  <c r="D16" i="1" s="1"/>
  <c r="D6" i="1"/>
  <c r="D2" i="1"/>
  <c r="D7" i="1" l="1"/>
  <c r="D4" i="1"/>
  <c r="D3" i="1"/>
</calcChain>
</file>

<file path=xl/sharedStrings.xml><?xml version="1.0" encoding="utf-8"?>
<sst xmlns="http://schemas.openxmlformats.org/spreadsheetml/2006/main" count="177" uniqueCount="65">
  <si>
    <t>DC2</t>
  </si>
  <si>
    <t>DC3</t>
  </si>
  <si>
    <t>DC1</t>
  </si>
  <si>
    <t>Bps</t>
  </si>
  <si>
    <t>Facility</t>
  </si>
  <si>
    <t>Total_lines</t>
  </si>
  <si>
    <t>Total_failed</t>
  </si>
  <si>
    <t>Shipping Plant</t>
  </si>
  <si>
    <t>Total Lines</t>
  </si>
  <si>
    <t>Total Failed</t>
  </si>
  <si>
    <t>bps</t>
  </si>
  <si>
    <t>ColorsF</t>
  </si>
  <si>
    <t>TX03</t>
  </si>
  <si>
    <t>#CBDC81</t>
  </si>
  <si>
    <t>CA20</t>
  </si>
  <si>
    <t>#97CD7E</t>
  </si>
  <si>
    <t>NJ22</t>
  </si>
  <si>
    <t>GA02</t>
  </si>
  <si>
    <t>IL30</t>
  </si>
  <si>
    <t>#FCB47A</t>
  </si>
  <si>
    <t>#FFD981</t>
  </si>
  <si>
    <t>OH36</t>
  </si>
  <si>
    <t>TX18</t>
  </si>
  <si>
    <t>FL14</t>
  </si>
  <si>
    <t>CA05</t>
  </si>
  <si>
    <t>WA09</t>
  </si>
  <si>
    <t>CO11</t>
  </si>
  <si>
    <t>AZ17</t>
  </si>
  <si>
    <t>NC34</t>
  </si>
  <si>
    <t>AL04</t>
  </si>
  <si>
    <t>MD23</t>
  </si>
  <si>
    <t>GA07</t>
  </si>
  <si>
    <t>OH13</t>
  </si>
  <si>
    <t>MA21</t>
  </si>
  <si>
    <t>MA24</t>
  </si>
  <si>
    <t>TX27</t>
  </si>
  <si>
    <t>CA10</t>
  </si>
  <si>
    <t>MO42</t>
  </si>
  <si>
    <t>MN55</t>
  </si>
  <si>
    <t>CA01</t>
  </si>
  <si>
    <t>#7DC57C</t>
  </si>
  <si>
    <t>TX35</t>
  </si>
  <si>
    <t>FL16</t>
  </si>
  <si>
    <t>#63BE7B</t>
  </si>
  <si>
    <t>CA49</t>
  </si>
  <si>
    <t>FL19</t>
  </si>
  <si>
    <t>MI40</t>
  </si>
  <si>
    <t>NJ56</t>
  </si>
  <si>
    <t>NV39</t>
  </si>
  <si>
    <t>MO15</t>
  </si>
  <si>
    <t>NC38</t>
  </si>
  <si>
    <t>UT48</t>
  </si>
  <si>
    <t>IN41</t>
  </si>
  <si>
    <t>LA46</t>
  </si>
  <si>
    <t>VA10</t>
  </si>
  <si>
    <t>OR47</t>
  </si>
  <si>
    <t>FL45</t>
  </si>
  <si>
    <t>OK28</t>
  </si>
  <si>
    <t>TN44</t>
  </si>
  <si>
    <t>VA37</t>
  </si>
  <si>
    <t>#F8696B</t>
  </si>
  <si>
    <t>BL00</t>
  </si>
  <si>
    <t>FL29</t>
  </si>
  <si>
    <t>Overall</t>
  </si>
  <si>
    <t>Formulas Part1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</si>
</sst>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0.0%"/>
    <numFmt numFmtId="168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65" fontId="0" fillId="0" borderId="0" xfId="2" applyNumberFormat="1" applyFont="1"/>
    <xf numFmtId="168" fontId="0" fillId="0" borderId="0" xfId="1" applyNumberFormat="1" applyFont="1"/>
    <xf numFmtId="10" fontId="0" fillId="0" borderId="0" xfId="2" applyNumberFormat="1" applyFont="1"/>
    <xf numFmtId="168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B63B-6814-4437-ACFD-8C4E45B4AB6E}">
  <dimension ref="A1:F16"/>
  <sheetViews>
    <sheetView workbookViewId="0">
      <selection activeCell="F10" sqref="F10"/>
    </sheetView>
  </sheetViews>
  <sheetFormatPr defaultRowHeight="14.4" x14ac:dyDescent="0.55000000000000004"/>
  <cols>
    <col min="1" max="1" width="6.20703125" bestFit="1" customWidth="1"/>
    <col min="3" max="3" width="5.41796875" bestFit="1" customWidth="1"/>
    <col min="4" max="4" width="5.68359375" bestFit="1" customWidth="1"/>
  </cols>
  <sheetData>
    <row r="1" spans="1:6" x14ac:dyDescent="0.55000000000000004">
      <c r="A1" t="s">
        <v>4</v>
      </c>
      <c r="B1" t="s">
        <v>5</v>
      </c>
      <c r="C1" t="s">
        <v>6</v>
      </c>
      <c r="D1" t="s">
        <v>3</v>
      </c>
    </row>
    <row r="2" spans="1:6" x14ac:dyDescent="0.55000000000000004">
      <c r="A2" t="s">
        <v>2</v>
      </c>
      <c r="B2">
        <v>1000</v>
      </c>
      <c r="C2">
        <v>200</v>
      </c>
      <c r="D2" s="1">
        <f>C2/$C$6*$D$6*10000</f>
        <v>740.74074074074088</v>
      </c>
      <c r="E2" s="1"/>
      <c r="F2" s="1"/>
    </row>
    <row r="3" spans="1:6" x14ac:dyDescent="0.55000000000000004">
      <c r="A3" t="s">
        <v>0</v>
      </c>
      <c r="B3">
        <v>800</v>
      </c>
      <c r="C3">
        <v>180</v>
      </c>
      <c r="D3" s="1">
        <f t="shared" ref="D3:D4" si="0">C3/$C$6*$D$6*10000</f>
        <v>666.66666666666663</v>
      </c>
    </row>
    <row r="4" spans="1:6" x14ac:dyDescent="0.55000000000000004">
      <c r="A4" t="s">
        <v>1</v>
      </c>
      <c r="B4">
        <v>900</v>
      </c>
      <c r="C4">
        <v>200</v>
      </c>
      <c r="D4" s="1">
        <f t="shared" si="0"/>
        <v>740.74074074074088</v>
      </c>
    </row>
    <row r="6" spans="1:6" x14ac:dyDescent="0.55000000000000004">
      <c r="B6">
        <f>SUM(B2:B5)</f>
        <v>2700</v>
      </c>
      <c r="C6">
        <f>SUM(C2:C5)</f>
        <v>580</v>
      </c>
      <c r="D6" s="2">
        <f>+C6/B6</f>
        <v>0.21481481481481482</v>
      </c>
    </row>
    <row r="7" spans="1:6" x14ac:dyDescent="0.55000000000000004">
      <c r="D7" s="1">
        <f>+D6*10000</f>
        <v>2148.1481481481483</v>
      </c>
    </row>
    <row r="10" spans="1:6" x14ac:dyDescent="0.55000000000000004">
      <c r="A10" t="s">
        <v>4</v>
      </c>
      <c r="B10" t="s">
        <v>5</v>
      </c>
      <c r="C10" t="s">
        <v>6</v>
      </c>
      <c r="D10" t="s">
        <v>3</v>
      </c>
    </row>
    <row r="11" spans="1:6" x14ac:dyDescent="0.55000000000000004">
      <c r="A11" t="s">
        <v>2</v>
      </c>
      <c r="B11">
        <v>150</v>
      </c>
      <c r="C11">
        <v>30</v>
      </c>
      <c r="D11" s="1">
        <f>C11/$C$6*$D$6*10000</f>
        <v>111.11111111111111</v>
      </c>
    </row>
    <row r="12" spans="1:6" x14ac:dyDescent="0.55000000000000004">
      <c r="A12" t="s">
        <v>0</v>
      </c>
      <c r="B12">
        <v>90</v>
      </c>
      <c r="C12">
        <v>24</v>
      </c>
      <c r="D12" s="1">
        <f t="shared" ref="D12:D13" si="1">C12/$C$6*$D$6*10000</f>
        <v>88.888888888888886</v>
      </c>
    </row>
    <row r="13" spans="1:6" x14ac:dyDescent="0.55000000000000004">
      <c r="A13" t="s">
        <v>1</v>
      </c>
      <c r="B13">
        <v>105</v>
      </c>
      <c r="C13">
        <v>25</v>
      </c>
      <c r="D13" s="1">
        <f t="shared" si="1"/>
        <v>92.592592592592609</v>
      </c>
    </row>
    <row r="15" spans="1:6" x14ac:dyDescent="0.55000000000000004">
      <c r="B15">
        <f>SUM(B11:B14)</f>
        <v>345</v>
      </c>
      <c r="C15">
        <f>SUM(C11:C14)</f>
        <v>79</v>
      </c>
      <c r="D15" s="2">
        <f>+C15/B15</f>
        <v>0.22898550724637681</v>
      </c>
    </row>
    <row r="16" spans="1:6" x14ac:dyDescent="0.55000000000000004">
      <c r="D16" s="1">
        <f>+D15*10000</f>
        <v>2289.855072463768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1B19-0413-43C7-AC84-FBE57EDDAC1C}">
  <dimension ref="A1:E64"/>
  <sheetViews>
    <sheetView workbookViewId="0">
      <selection sqref="A1:E1048576"/>
    </sheetView>
  </sheetViews>
  <sheetFormatPr defaultRowHeight="14.4" x14ac:dyDescent="0.55000000000000004"/>
  <sheetData>
    <row r="1" spans="1:5" x14ac:dyDescent="0.55000000000000004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55000000000000004">
      <c r="A2" t="s">
        <v>12</v>
      </c>
      <c r="B2">
        <v>41137</v>
      </c>
      <c r="C2">
        <v>10241</v>
      </c>
      <c r="D2">
        <v>7</v>
      </c>
      <c r="E2" t="s">
        <v>13</v>
      </c>
    </row>
    <row r="3" spans="1:5" x14ac:dyDescent="0.55000000000000004">
      <c r="A3" t="s">
        <v>14</v>
      </c>
      <c r="B3">
        <v>58332</v>
      </c>
      <c r="C3">
        <v>9554</v>
      </c>
      <c r="D3">
        <v>6.5</v>
      </c>
      <c r="E3" t="s">
        <v>15</v>
      </c>
    </row>
    <row r="4" spans="1:5" x14ac:dyDescent="0.55000000000000004">
      <c r="A4" t="s">
        <v>16</v>
      </c>
      <c r="B4">
        <v>49606</v>
      </c>
      <c r="C4">
        <v>9541</v>
      </c>
      <c r="D4">
        <v>6.5</v>
      </c>
      <c r="E4" t="s">
        <v>15</v>
      </c>
    </row>
    <row r="5" spans="1:5" x14ac:dyDescent="0.55000000000000004">
      <c r="A5" t="s">
        <v>17</v>
      </c>
      <c r="B5">
        <v>43395</v>
      </c>
      <c r="C5">
        <v>8148</v>
      </c>
      <c r="D5">
        <v>5.5</v>
      </c>
      <c r="E5" t="s">
        <v>15</v>
      </c>
    </row>
    <row r="6" spans="1:5" x14ac:dyDescent="0.55000000000000004">
      <c r="A6" t="s">
        <v>18</v>
      </c>
      <c r="B6">
        <v>33821</v>
      </c>
      <c r="C6">
        <v>7359</v>
      </c>
      <c r="D6">
        <v>5</v>
      </c>
      <c r="E6" t="s">
        <v>13</v>
      </c>
    </row>
    <row r="7" spans="1:5" x14ac:dyDescent="0.55000000000000004">
      <c r="A7">
        <v>13</v>
      </c>
      <c r="B7">
        <v>10181</v>
      </c>
      <c r="C7">
        <v>6132</v>
      </c>
      <c r="D7">
        <v>4.2</v>
      </c>
      <c r="E7" t="s">
        <v>19</v>
      </c>
    </row>
    <row r="8" spans="1:5" x14ac:dyDescent="0.55000000000000004">
      <c r="A8">
        <v>198</v>
      </c>
      <c r="B8">
        <v>12475</v>
      </c>
      <c r="C8">
        <v>5721</v>
      </c>
      <c r="D8">
        <v>3.9</v>
      </c>
      <c r="E8" t="s">
        <v>20</v>
      </c>
    </row>
    <row r="9" spans="1:5" x14ac:dyDescent="0.55000000000000004">
      <c r="A9" t="s">
        <v>21</v>
      </c>
      <c r="B9">
        <v>23936</v>
      </c>
      <c r="C9">
        <v>5619</v>
      </c>
      <c r="D9">
        <v>3.8</v>
      </c>
      <c r="E9" t="s">
        <v>13</v>
      </c>
    </row>
    <row r="10" spans="1:5" x14ac:dyDescent="0.55000000000000004">
      <c r="A10" t="s">
        <v>22</v>
      </c>
      <c r="B10">
        <v>35866</v>
      </c>
      <c r="C10">
        <v>5520</v>
      </c>
      <c r="D10">
        <v>3.8</v>
      </c>
      <c r="E10" t="s">
        <v>15</v>
      </c>
    </row>
    <row r="11" spans="1:5" x14ac:dyDescent="0.55000000000000004">
      <c r="A11" t="s">
        <v>23</v>
      </c>
      <c r="B11">
        <v>29733</v>
      </c>
      <c r="C11">
        <v>4128</v>
      </c>
      <c r="D11">
        <v>2.8</v>
      </c>
      <c r="E11" t="s">
        <v>15</v>
      </c>
    </row>
    <row r="12" spans="1:5" x14ac:dyDescent="0.55000000000000004">
      <c r="A12" t="s">
        <v>24</v>
      </c>
      <c r="B12">
        <v>27111</v>
      </c>
      <c r="C12">
        <v>3890</v>
      </c>
      <c r="D12">
        <v>2.6</v>
      </c>
      <c r="E12" t="s">
        <v>15</v>
      </c>
    </row>
    <row r="13" spans="1:5" x14ac:dyDescent="0.55000000000000004">
      <c r="A13">
        <v>206</v>
      </c>
      <c r="B13">
        <v>14173</v>
      </c>
      <c r="C13">
        <v>3527</v>
      </c>
      <c r="D13">
        <v>2.4</v>
      </c>
      <c r="E13" t="s">
        <v>13</v>
      </c>
    </row>
    <row r="14" spans="1:5" x14ac:dyDescent="0.55000000000000004">
      <c r="A14" t="s">
        <v>25</v>
      </c>
      <c r="B14">
        <v>27080</v>
      </c>
      <c r="C14">
        <v>3210</v>
      </c>
      <c r="D14">
        <v>2.2000000000000002</v>
      </c>
      <c r="E14" t="s">
        <v>15</v>
      </c>
    </row>
    <row r="15" spans="1:5" x14ac:dyDescent="0.55000000000000004">
      <c r="A15" t="s">
        <v>26</v>
      </c>
      <c r="B15">
        <v>19849</v>
      </c>
      <c r="C15">
        <v>3115</v>
      </c>
      <c r="D15">
        <v>2.1</v>
      </c>
      <c r="E15" t="s">
        <v>15</v>
      </c>
    </row>
    <row r="16" spans="1:5" x14ac:dyDescent="0.55000000000000004">
      <c r="A16" t="s">
        <v>27</v>
      </c>
      <c r="B16">
        <v>18205</v>
      </c>
      <c r="C16">
        <v>3099</v>
      </c>
      <c r="D16">
        <v>2.1</v>
      </c>
      <c r="E16" t="s">
        <v>15</v>
      </c>
    </row>
    <row r="17" spans="1:5" x14ac:dyDescent="0.55000000000000004">
      <c r="A17">
        <v>207</v>
      </c>
      <c r="B17">
        <v>8991</v>
      </c>
      <c r="C17">
        <v>2592</v>
      </c>
      <c r="D17">
        <v>1.8</v>
      </c>
      <c r="E17" t="s">
        <v>13</v>
      </c>
    </row>
    <row r="18" spans="1:5" x14ac:dyDescent="0.55000000000000004">
      <c r="A18">
        <v>208</v>
      </c>
      <c r="B18">
        <v>10602</v>
      </c>
      <c r="C18">
        <v>2230</v>
      </c>
      <c r="D18">
        <v>1.5</v>
      </c>
      <c r="E18" t="s">
        <v>13</v>
      </c>
    </row>
    <row r="19" spans="1:5" x14ac:dyDescent="0.55000000000000004">
      <c r="A19">
        <v>6</v>
      </c>
      <c r="B19">
        <v>7013</v>
      </c>
      <c r="C19">
        <v>2123</v>
      </c>
      <c r="D19">
        <v>1.4</v>
      </c>
      <c r="E19" t="s">
        <v>20</v>
      </c>
    </row>
    <row r="20" spans="1:5" x14ac:dyDescent="0.55000000000000004">
      <c r="A20" t="s">
        <v>28</v>
      </c>
      <c r="B20">
        <v>9055</v>
      </c>
      <c r="C20">
        <v>1944</v>
      </c>
      <c r="D20">
        <v>1.3</v>
      </c>
      <c r="E20" t="s">
        <v>13</v>
      </c>
    </row>
    <row r="21" spans="1:5" x14ac:dyDescent="0.55000000000000004">
      <c r="A21">
        <v>9</v>
      </c>
      <c r="B21">
        <v>4630</v>
      </c>
      <c r="C21">
        <v>1775</v>
      </c>
      <c r="D21">
        <v>1.2</v>
      </c>
      <c r="E21" t="s">
        <v>20</v>
      </c>
    </row>
    <row r="22" spans="1:5" x14ac:dyDescent="0.55000000000000004">
      <c r="A22" t="s">
        <v>29</v>
      </c>
      <c r="B22">
        <v>12162</v>
      </c>
      <c r="C22">
        <v>1719</v>
      </c>
      <c r="D22">
        <v>1.2</v>
      </c>
      <c r="E22" t="s">
        <v>15</v>
      </c>
    </row>
    <row r="23" spans="1:5" x14ac:dyDescent="0.55000000000000004">
      <c r="A23" t="s">
        <v>30</v>
      </c>
      <c r="B23">
        <v>6349</v>
      </c>
      <c r="C23">
        <v>944</v>
      </c>
      <c r="D23">
        <v>0.6</v>
      </c>
      <c r="E23" t="s">
        <v>15</v>
      </c>
    </row>
    <row r="24" spans="1:5" x14ac:dyDescent="0.55000000000000004">
      <c r="A24" t="s">
        <v>31</v>
      </c>
      <c r="B24">
        <v>1839</v>
      </c>
      <c r="C24">
        <v>942</v>
      </c>
      <c r="D24">
        <v>0.6</v>
      </c>
      <c r="E24" t="s">
        <v>19</v>
      </c>
    </row>
    <row r="25" spans="1:5" x14ac:dyDescent="0.55000000000000004">
      <c r="A25">
        <v>236</v>
      </c>
      <c r="B25">
        <v>3103</v>
      </c>
      <c r="C25">
        <v>831</v>
      </c>
      <c r="D25">
        <v>0.6</v>
      </c>
      <c r="E25" t="s">
        <v>13</v>
      </c>
    </row>
    <row r="26" spans="1:5" x14ac:dyDescent="0.55000000000000004">
      <c r="A26">
        <v>19</v>
      </c>
      <c r="B26">
        <v>1891</v>
      </c>
      <c r="C26">
        <v>725</v>
      </c>
      <c r="D26">
        <v>0.5</v>
      </c>
      <c r="E26" t="s">
        <v>20</v>
      </c>
    </row>
    <row r="27" spans="1:5" x14ac:dyDescent="0.55000000000000004">
      <c r="A27">
        <v>148</v>
      </c>
      <c r="B27">
        <v>1483</v>
      </c>
      <c r="C27">
        <v>624</v>
      </c>
      <c r="D27">
        <v>0.4</v>
      </c>
      <c r="E27" t="s">
        <v>20</v>
      </c>
    </row>
    <row r="28" spans="1:5" x14ac:dyDescent="0.55000000000000004">
      <c r="A28" t="s">
        <v>32</v>
      </c>
      <c r="B28">
        <v>2309</v>
      </c>
      <c r="C28">
        <v>571</v>
      </c>
      <c r="D28">
        <v>0.4</v>
      </c>
      <c r="E28" t="s">
        <v>13</v>
      </c>
    </row>
    <row r="29" spans="1:5" x14ac:dyDescent="0.55000000000000004">
      <c r="A29">
        <v>180</v>
      </c>
      <c r="B29">
        <v>1728</v>
      </c>
      <c r="C29">
        <v>545</v>
      </c>
      <c r="D29">
        <v>0.4</v>
      </c>
      <c r="E29" t="s">
        <v>20</v>
      </c>
    </row>
    <row r="30" spans="1:5" x14ac:dyDescent="0.55000000000000004">
      <c r="A30" t="s">
        <v>33</v>
      </c>
      <c r="B30">
        <v>3988</v>
      </c>
      <c r="C30">
        <v>545</v>
      </c>
      <c r="D30">
        <v>0.4</v>
      </c>
      <c r="E30" t="s">
        <v>15</v>
      </c>
    </row>
    <row r="31" spans="1:5" x14ac:dyDescent="0.55000000000000004">
      <c r="A31" t="s">
        <v>34</v>
      </c>
      <c r="B31">
        <v>1619</v>
      </c>
      <c r="C31">
        <v>528</v>
      </c>
      <c r="D31">
        <v>0.4</v>
      </c>
      <c r="E31" t="s">
        <v>20</v>
      </c>
    </row>
    <row r="32" spans="1:5" x14ac:dyDescent="0.55000000000000004">
      <c r="A32" t="s">
        <v>35</v>
      </c>
      <c r="B32">
        <v>4641</v>
      </c>
      <c r="C32">
        <v>516</v>
      </c>
      <c r="D32">
        <v>0.4</v>
      </c>
      <c r="E32" t="s">
        <v>15</v>
      </c>
    </row>
    <row r="33" spans="1:5" x14ac:dyDescent="0.55000000000000004">
      <c r="A33" t="s">
        <v>36</v>
      </c>
      <c r="B33">
        <v>1577</v>
      </c>
      <c r="C33">
        <v>392</v>
      </c>
      <c r="D33">
        <v>0.3</v>
      </c>
      <c r="E33" t="s">
        <v>13</v>
      </c>
    </row>
    <row r="34" spans="1:5" x14ac:dyDescent="0.55000000000000004">
      <c r="A34" t="s">
        <v>37</v>
      </c>
      <c r="B34">
        <v>1728</v>
      </c>
      <c r="C34">
        <v>330</v>
      </c>
      <c r="D34">
        <v>0.2</v>
      </c>
      <c r="E34" t="s">
        <v>15</v>
      </c>
    </row>
    <row r="35" spans="1:5" x14ac:dyDescent="0.55000000000000004">
      <c r="A35" t="s">
        <v>38</v>
      </c>
      <c r="B35">
        <v>2484</v>
      </c>
      <c r="C35">
        <v>315</v>
      </c>
      <c r="D35">
        <v>0.2</v>
      </c>
      <c r="E35" t="s">
        <v>15</v>
      </c>
    </row>
    <row r="36" spans="1:5" x14ac:dyDescent="0.55000000000000004">
      <c r="A36" t="s">
        <v>39</v>
      </c>
      <c r="B36">
        <v>3160</v>
      </c>
      <c r="C36">
        <v>281</v>
      </c>
      <c r="D36">
        <v>0.2</v>
      </c>
      <c r="E36" t="s">
        <v>40</v>
      </c>
    </row>
    <row r="37" spans="1:5" x14ac:dyDescent="0.55000000000000004">
      <c r="A37" t="s">
        <v>41</v>
      </c>
      <c r="B37">
        <v>3544</v>
      </c>
      <c r="C37">
        <v>278</v>
      </c>
      <c r="D37">
        <v>0.2</v>
      </c>
      <c r="E37" t="s">
        <v>40</v>
      </c>
    </row>
    <row r="38" spans="1:5" x14ac:dyDescent="0.55000000000000004">
      <c r="A38" t="s">
        <v>42</v>
      </c>
      <c r="B38">
        <v>6296</v>
      </c>
      <c r="C38">
        <v>268</v>
      </c>
      <c r="D38">
        <v>0.2</v>
      </c>
      <c r="E38" t="s">
        <v>43</v>
      </c>
    </row>
    <row r="39" spans="1:5" x14ac:dyDescent="0.55000000000000004">
      <c r="A39" t="s">
        <v>44</v>
      </c>
      <c r="B39">
        <v>1869</v>
      </c>
      <c r="C39">
        <v>249</v>
      </c>
      <c r="D39">
        <v>0.2</v>
      </c>
      <c r="E39" t="s">
        <v>15</v>
      </c>
    </row>
    <row r="40" spans="1:5" x14ac:dyDescent="0.55000000000000004">
      <c r="A40" t="s">
        <v>45</v>
      </c>
      <c r="B40">
        <v>1916</v>
      </c>
      <c r="C40">
        <v>240</v>
      </c>
      <c r="D40">
        <v>0.2</v>
      </c>
      <c r="E40" t="s">
        <v>15</v>
      </c>
    </row>
    <row r="41" spans="1:5" x14ac:dyDescent="0.55000000000000004">
      <c r="A41" t="s">
        <v>46</v>
      </c>
      <c r="B41">
        <v>2541</v>
      </c>
      <c r="C41">
        <v>225</v>
      </c>
      <c r="D41">
        <v>0.2</v>
      </c>
      <c r="E41" t="s">
        <v>40</v>
      </c>
    </row>
    <row r="42" spans="1:5" x14ac:dyDescent="0.55000000000000004">
      <c r="A42" t="s">
        <v>47</v>
      </c>
      <c r="B42">
        <v>2712</v>
      </c>
      <c r="C42">
        <v>190</v>
      </c>
      <c r="D42">
        <v>0.1</v>
      </c>
      <c r="E42" t="s">
        <v>40</v>
      </c>
    </row>
    <row r="43" spans="1:5" x14ac:dyDescent="0.55000000000000004">
      <c r="A43" t="s">
        <v>48</v>
      </c>
      <c r="B43">
        <v>3842</v>
      </c>
      <c r="C43">
        <v>187</v>
      </c>
      <c r="D43">
        <v>0.1</v>
      </c>
      <c r="E43" t="s">
        <v>43</v>
      </c>
    </row>
    <row r="44" spans="1:5" x14ac:dyDescent="0.55000000000000004">
      <c r="A44" t="s">
        <v>49</v>
      </c>
      <c r="B44">
        <v>1826</v>
      </c>
      <c r="C44">
        <v>174</v>
      </c>
      <c r="D44">
        <v>0.1</v>
      </c>
      <c r="E44" t="s">
        <v>40</v>
      </c>
    </row>
    <row r="45" spans="1:5" x14ac:dyDescent="0.55000000000000004">
      <c r="A45" t="s">
        <v>50</v>
      </c>
      <c r="B45">
        <v>993</v>
      </c>
      <c r="C45">
        <v>126</v>
      </c>
      <c r="D45">
        <v>0.1</v>
      </c>
      <c r="E45" t="s">
        <v>15</v>
      </c>
    </row>
    <row r="46" spans="1:5" x14ac:dyDescent="0.55000000000000004">
      <c r="A46" t="s">
        <v>51</v>
      </c>
      <c r="B46">
        <v>1603</v>
      </c>
      <c r="C46">
        <v>126</v>
      </c>
      <c r="D46">
        <v>0.1</v>
      </c>
      <c r="E46" t="s">
        <v>40</v>
      </c>
    </row>
    <row r="47" spans="1:5" x14ac:dyDescent="0.55000000000000004">
      <c r="A47" t="s">
        <v>52</v>
      </c>
      <c r="B47">
        <v>1324</v>
      </c>
      <c r="C47">
        <v>116</v>
      </c>
      <c r="D47">
        <v>0.1</v>
      </c>
      <c r="E47" t="s">
        <v>40</v>
      </c>
    </row>
    <row r="48" spans="1:5" x14ac:dyDescent="0.55000000000000004">
      <c r="A48" t="s">
        <v>53</v>
      </c>
      <c r="B48">
        <v>272</v>
      </c>
      <c r="C48">
        <v>95</v>
      </c>
      <c r="D48">
        <v>0.1</v>
      </c>
      <c r="E48" t="s">
        <v>20</v>
      </c>
    </row>
    <row r="49" spans="1:5" x14ac:dyDescent="0.55000000000000004">
      <c r="A49" t="s">
        <v>54</v>
      </c>
      <c r="B49">
        <v>1653</v>
      </c>
      <c r="C49">
        <v>94</v>
      </c>
      <c r="D49">
        <v>0.1</v>
      </c>
      <c r="E49" t="s">
        <v>40</v>
      </c>
    </row>
    <row r="50" spans="1:5" x14ac:dyDescent="0.55000000000000004">
      <c r="A50" t="s">
        <v>55</v>
      </c>
      <c r="B50">
        <v>630</v>
      </c>
      <c r="C50">
        <v>89</v>
      </c>
      <c r="D50">
        <v>0.1</v>
      </c>
      <c r="E50" t="s">
        <v>15</v>
      </c>
    </row>
    <row r="51" spans="1:5" x14ac:dyDescent="0.55000000000000004">
      <c r="A51" t="s">
        <v>56</v>
      </c>
      <c r="B51">
        <v>1304</v>
      </c>
      <c r="C51">
        <v>61</v>
      </c>
      <c r="D51">
        <v>0</v>
      </c>
      <c r="E51" t="s">
        <v>43</v>
      </c>
    </row>
    <row r="52" spans="1:5" x14ac:dyDescent="0.55000000000000004">
      <c r="A52" t="s">
        <v>57</v>
      </c>
      <c r="B52">
        <v>298</v>
      </c>
      <c r="C52">
        <v>60</v>
      </c>
      <c r="D52">
        <v>0</v>
      </c>
      <c r="E52" t="s">
        <v>13</v>
      </c>
    </row>
    <row r="53" spans="1:5" x14ac:dyDescent="0.55000000000000004">
      <c r="A53" t="s">
        <v>58</v>
      </c>
      <c r="B53">
        <v>503</v>
      </c>
      <c r="C53">
        <v>48</v>
      </c>
      <c r="D53">
        <v>0</v>
      </c>
      <c r="E53" t="s">
        <v>40</v>
      </c>
    </row>
    <row r="54" spans="1:5" x14ac:dyDescent="0.55000000000000004">
      <c r="A54" t="s">
        <v>59</v>
      </c>
      <c r="B54">
        <v>809</v>
      </c>
      <c r="C54">
        <v>46</v>
      </c>
      <c r="D54">
        <v>0</v>
      </c>
      <c r="E54" t="s">
        <v>40</v>
      </c>
    </row>
    <row r="55" spans="1:5" x14ac:dyDescent="0.55000000000000004">
      <c r="A55">
        <v>17</v>
      </c>
      <c r="B55">
        <v>128</v>
      </c>
      <c r="C55">
        <v>35</v>
      </c>
      <c r="D55">
        <v>0</v>
      </c>
      <c r="E55" t="s">
        <v>13</v>
      </c>
    </row>
    <row r="56" spans="1:5" x14ac:dyDescent="0.55000000000000004">
      <c r="A56">
        <v>273</v>
      </c>
      <c r="B56">
        <v>33</v>
      </c>
      <c r="C56">
        <v>9</v>
      </c>
      <c r="D56">
        <v>0</v>
      </c>
      <c r="E56" t="s">
        <v>13</v>
      </c>
    </row>
    <row r="57" spans="1:5" x14ac:dyDescent="0.55000000000000004">
      <c r="A57">
        <v>245</v>
      </c>
      <c r="B57">
        <v>1</v>
      </c>
      <c r="C57">
        <v>1</v>
      </c>
      <c r="D57">
        <v>0</v>
      </c>
      <c r="E57" t="s">
        <v>60</v>
      </c>
    </row>
    <row r="58" spans="1:5" x14ac:dyDescent="0.55000000000000004">
      <c r="A58">
        <v>18</v>
      </c>
      <c r="B58">
        <v>5</v>
      </c>
      <c r="C58">
        <v>0</v>
      </c>
      <c r="D58">
        <v>0</v>
      </c>
      <c r="E58" t="s">
        <v>43</v>
      </c>
    </row>
    <row r="59" spans="1:5" x14ac:dyDescent="0.55000000000000004">
      <c r="A59">
        <v>225</v>
      </c>
      <c r="B59">
        <v>5</v>
      </c>
      <c r="C59">
        <v>0</v>
      </c>
      <c r="D59">
        <v>0</v>
      </c>
      <c r="E59" t="s">
        <v>43</v>
      </c>
    </row>
    <row r="60" spans="1:5" x14ac:dyDescent="0.55000000000000004">
      <c r="A60">
        <v>233</v>
      </c>
      <c r="B60">
        <v>1</v>
      </c>
      <c r="C60">
        <v>0</v>
      </c>
      <c r="D60">
        <v>0</v>
      </c>
      <c r="E60" t="s">
        <v>43</v>
      </c>
    </row>
    <row r="61" spans="1:5" x14ac:dyDescent="0.55000000000000004">
      <c r="A61">
        <v>246</v>
      </c>
      <c r="B61">
        <v>1</v>
      </c>
      <c r="C61">
        <v>0</v>
      </c>
      <c r="D61">
        <v>0</v>
      </c>
      <c r="E61" t="s">
        <v>43</v>
      </c>
    </row>
    <row r="62" spans="1:5" x14ac:dyDescent="0.55000000000000004">
      <c r="A62">
        <v>3</v>
      </c>
      <c r="B62">
        <v>29</v>
      </c>
      <c r="C62">
        <v>0</v>
      </c>
      <c r="D62">
        <v>0</v>
      </c>
      <c r="E62" t="s">
        <v>43</v>
      </c>
    </row>
    <row r="63" spans="1:5" x14ac:dyDescent="0.55000000000000004">
      <c r="A63">
        <v>72</v>
      </c>
      <c r="B63">
        <v>7</v>
      </c>
      <c r="C63">
        <v>0</v>
      </c>
      <c r="D63">
        <v>0</v>
      </c>
      <c r="E63" t="s">
        <v>43</v>
      </c>
    </row>
    <row r="64" spans="1:5" x14ac:dyDescent="0.55000000000000004">
      <c r="A64" t="s">
        <v>61</v>
      </c>
      <c r="B64">
        <v>55721</v>
      </c>
      <c r="C64">
        <v>14071</v>
      </c>
      <c r="D64">
        <v>0</v>
      </c>
      <c r="E6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FBC9C-99BD-4628-8DD9-7A4E7197CDB2}">
  <dimension ref="A1:G93"/>
  <sheetViews>
    <sheetView tabSelected="1" workbookViewId="0">
      <selection activeCell="F2" sqref="F2"/>
    </sheetView>
  </sheetViews>
  <sheetFormatPr defaultRowHeight="14.4" x14ac:dyDescent="0.55000000000000004"/>
  <cols>
    <col min="4" max="4" width="5.734375" customWidth="1"/>
    <col min="6" max="6" width="9.62890625" bestFit="1" customWidth="1"/>
    <col min="7" max="7" width="10.89453125" bestFit="1" customWidth="1"/>
    <col min="11" max="11" width="9.62890625" bestFit="1" customWidth="1"/>
    <col min="12" max="12" width="13.47265625" bestFit="1" customWidth="1"/>
  </cols>
  <sheetData>
    <row r="1" spans="1:7" x14ac:dyDescent="0.55000000000000004">
      <c r="A1" t="s">
        <v>7</v>
      </c>
      <c r="B1" t="s">
        <v>8</v>
      </c>
      <c r="C1" t="s">
        <v>9</v>
      </c>
      <c r="D1" t="s">
        <v>10</v>
      </c>
      <c r="F1" t="s">
        <v>64</v>
      </c>
    </row>
    <row r="2" spans="1:7" x14ac:dyDescent="0.55000000000000004">
      <c r="A2" t="s">
        <v>18</v>
      </c>
      <c r="B2">
        <v>897656</v>
      </c>
      <c r="C2">
        <v>296434</v>
      </c>
      <c r="D2" s="5">
        <f>+C2/total_failed*otif_pct*10000</f>
        <v>205.90942274871443</v>
      </c>
      <c r="F2" t="s">
        <v>5</v>
      </c>
      <c r="G2" s="3">
        <f>SUM(B2:B93)</f>
        <v>14396330</v>
      </c>
    </row>
    <row r="3" spans="1:7" x14ac:dyDescent="0.55000000000000004">
      <c r="A3" t="s">
        <v>14</v>
      </c>
      <c r="B3">
        <v>1411752</v>
      </c>
      <c r="C3">
        <v>292994</v>
      </c>
      <c r="D3" s="5">
        <f>+C3/total_failed*otif_pct*10000</f>
        <v>203.51992486974112</v>
      </c>
      <c r="F3" t="s">
        <v>6</v>
      </c>
      <c r="G3" s="3">
        <f>SUM(C2:C93)</f>
        <v>3103900</v>
      </c>
    </row>
    <row r="4" spans="1:7" x14ac:dyDescent="0.55000000000000004">
      <c r="A4" t="s">
        <v>16</v>
      </c>
      <c r="B4">
        <v>1142653</v>
      </c>
      <c r="C4">
        <v>288635</v>
      </c>
      <c r="D4" s="5">
        <f>+C4/total_failed*otif_pct*10000</f>
        <v>200.49206985391419</v>
      </c>
      <c r="F4" t="s">
        <v>63</v>
      </c>
      <c r="G4" s="4">
        <f>+G3/G2</f>
        <v>0.21560356007399109</v>
      </c>
    </row>
    <row r="5" spans="1:7" x14ac:dyDescent="0.55000000000000004">
      <c r="A5" t="s">
        <v>17</v>
      </c>
      <c r="B5">
        <v>973163</v>
      </c>
      <c r="C5">
        <v>248705</v>
      </c>
      <c r="D5" s="5">
        <f>+C5/total_failed*otif_pct*10000</f>
        <v>172.75583429943606</v>
      </c>
    </row>
    <row r="6" spans="1:7" x14ac:dyDescent="0.55000000000000004">
      <c r="A6" t="s">
        <v>12</v>
      </c>
      <c r="B6">
        <v>903599</v>
      </c>
      <c r="C6">
        <v>225460</v>
      </c>
      <c r="D6" s="5">
        <f>+C6/total_failed*otif_pct*10000</f>
        <v>156.60935807945501</v>
      </c>
    </row>
    <row r="7" spans="1:7" x14ac:dyDescent="0.55000000000000004">
      <c r="A7" t="s">
        <v>23</v>
      </c>
      <c r="B7">
        <v>699989</v>
      </c>
      <c r="C7">
        <v>152984</v>
      </c>
      <c r="D7" s="5">
        <f>+C7/total_failed*otif_pct*10000</f>
        <v>106.26597195257402</v>
      </c>
    </row>
    <row r="8" spans="1:7" x14ac:dyDescent="0.55000000000000004">
      <c r="A8" t="s">
        <v>21</v>
      </c>
      <c r="B8">
        <v>586547</v>
      </c>
      <c r="C8">
        <v>149743</v>
      </c>
      <c r="D8" s="5">
        <f>+C8/total_failed*otif_pct*10000</f>
        <v>104.01470374741342</v>
      </c>
    </row>
    <row r="9" spans="1:7" x14ac:dyDescent="0.55000000000000004">
      <c r="A9" t="s">
        <v>25</v>
      </c>
      <c r="B9">
        <v>663116</v>
      </c>
      <c r="C9">
        <v>139508</v>
      </c>
      <c r="D9" s="5">
        <f>+C9/total_failed*otif_pct*10000</f>
        <v>96.905252935991328</v>
      </c>
    </row>
    <row r="10" spans="1:7" x14ac:dyDescent="0.55000000000000004">
      <c r="A10" t="s">
        <v>22</v>
      </c>
      <c r="B10">
        <v>780934</v>
      </c>
      <c r="C10">
        <v>120022</v>
      </c>
      <c r="D10" s="5">
        <f>+C10/total_failed*otif_pct*10000</f>
        <v>83.369858845969773</v>
      </c>
    </row>
    <row r="11" spans="1:7" x14ac:dyDescent="0.55000000000000004">
      <c r="A11" t="s">
        <v>24</v>
      </c>
      <c r="B11">
        <v>644870</v>
      </c>
      <c r="C11">
        <v>113695</v>
      </c>
      <c r="D11" s="5">
        <f>+C11/total_failed*otif_pct*10000</f>
        <v>78.974988764497624</v>
      </c>
    </row>
    <row r="12" spans="1:7" x14ac:dyDescent="0.55000000000000004">
      <c r="A12" t="s">
        <v>27</v>
      </c>
      <c r="B12">
        <v>408802</v>
      </c>
      <c r="C12">
        <v>84427</v>
      </c>
      <c r="D12" s="5">
        <f>+C12/total_failed*otif_pct*10000</f>
        <v>58.644807391883901</v>
      </c>
    </row>
    <row r="13" spans="1:7" x14ac:dyDescent="0.55000000000000004">
      <c r="A13">
        <v>198</v>
      </c>
      <c r="B13">
        <v>277143</v>
      </c>
      <c r="C13">
        <v>80788</v>
      </c>
      <c r="D13" s="5">
        <f>+C13/total_failed*otif_pct*10000</f>
        <v>56.117079839097883</v>
      </c>
    </row>
    <row r="14" spans="1:7" x14ac:dyDescent="0.55000000000000004">
      <c r="A14" t="s">
        <v>26</v>
      </c>
      <c r="B14">
        <v>430227</v>
      </c>
      <c r="C14">
        <v>69064</v>
      </c>
      <c r="D14" s="5">
        <f>+C14/total_failed*otif_pct*10000</f>
        <v>47.973337649248109</v>
      </c>
    </row>
    <row r="15" spans="1:7" x14ac:dyDescent="0.55000000000000004">
      <c r="A15">
        <v>206</v>
      </c>
      <c r="B15">
        <v>230674</v>
      </c>
      <c r="C15">
        <v>58905</v>
      </c>
      <c r="D15" s="5">
        <f>+C15/total_failed*otif_pct*10000</f>
        <v>40.9166780700359</v>
      </c>
    </row>
    <row r="16" spans="1:7" x14ac:dyDescent="0.55000000000000004">
      <c r="A16" t="s">
        <v>33</v>
      </c>
      <c r="B16">
        <v>166128</v>
      </c>
      <c r="C16">
        <v>57062</v>
      </c>
      <c r="D16" s="5">
        <f>+C16/total_failed*otif_pct*10000</f>
        <v>39.636490688946424</v>
      </c>
    </row>
    <row r="17" spans="1:4" x14ac:dyDescent="0.55000000000000004">
      <c r="A17" t="s">
        <v>28</v>
      </c>
      <c r="B17">
        <v>208222</v>
      </c>
      <c r="C17">
        <v>53520</v>
      </c>
      <c r="D17" s="5">
        <f>+C17/total_failed*otif_pct*10000</f>
        <v>37.176141419375632</v>
      </c>
    </row>
    <row r="18" spans="1:4" x14ac:dyDescent="0.55000000000000004">
      <c r="A18">
        <v>13</v>
      </c>
      <c r="B18">
        <v>128786</v>
      </c>
      <c r="C18">
        <v>51111</v>
      </c>
      <c r="D18" s="5">
        <f>+C18/total_failed*otif_pct*10000</f>
        <v>35.50279828261786</v>
      </c>
    </row>
    <row r="19" spans="1:4" x14ac:dyDescent="0.55000000000000004">
      <c r="A19">
        <v>208</v>
      </c>
      <c r="B19">
        <v>188238</v>
      </c>
      <c r="C19">
        <v>49541</v>
      </c>
      <c r="D19" s="5">
        <f>+C19/total_failed*otif_pct*10000</f>
        <v>34.412242564598067</v>
      </c>
    </row>
    <row r="20" spans="1:4" x14ac:dyDescent="0.55000000000000004">
      <c r="A20" t="s">
        <v>29</v>
      </c>
      <c r="B20">
        <v>290965</v>
      </c>
      <c r="C20">
        <v>45416</v>
      </c>
      <c r="D20" s="5">
        <f>+C20/total_failed*otif_pct*10000</f>
        <v>31.546928974259416</v>
      </c>
    </row>
    <row r="21" spans="1:4" x14ac:dyDescent="0.55000000000000004">
      <c r="A21">
        <v>6</v>
      </c>
      <c r="B21">
        <v>102162</v>
      </c>
      <c r="C21">
        <v>38595</v>
      </c>
      <c r="D21" s="5">
        <f>+C21/total_failed*otif_pct*10000</f>
        <v>26.808915883423072</v>
      </c>
    </row>
    <row r="22" spans="1:4" x14ac:dyDescent="0.55000000000000004">
      <c r="A22">
        <v>207</v>
      </c>
      <c r="B22">
        <v>116750</v>
      </c>
      <c r="C22">
        <v>31620</v>
      </c>
      <c r="D22" s="5">
        <f>+C22/total_failed*otif_pct*10000</f>
        <v>21.963931085214082</v>
      </c>
    </row>
    <row r="23" spans="1:4" x14ac:dyDescent="0.55000000000000004">
      <c r="A23" t="s">
        <v>31</v>
      </c>
      <c r="B23">
        <v>50118</v>
      </c>
      <c r="C23">
        <v>28816</v>
      </c>
      <c r="D23" s="5">
        <f>+C23/total_failed*otif_pct*10000</f>
        <v>20.016212465260246</v>
      </c>
    </row>
    <row r="24" spans="1:4" x14ac:dyDescent="0.55000000000000004">
      <c r="A24">
        <v>9</v>
      </c>
      <c r="B24">
        <v>70946</v>
      </c>
      <c r="C24">
        <v>25335</v>
      </c>
      <c r="D24" s="5">
        <f>+C24/total_failed*otif_pct*10000</f>
        <v>17.598235105752646</v>
      </c>
    </row>
    <row r="25" spans="1:4" x14ac:dyDescent="0.55000000000000004">
      <c r="A25">
        <v>3</v>
      </c>
      <c r="B25">
        <v>65441</v>
      </c>
      <c r="C25">
        <v>23063</v>
      </c>
      <c r="D25" s="5">
        <f>+C25/total_failed*otif_pct*10000</f>
        <v>16.020055111267943</v>
      </c>
    </row>
    <row r="26" spans="1:4" x14ac:dyDescent="0.55000000000000004">
      <c r="A26" t="s">
        <v>30</v>
      </c>
      <c r="B26">
        <v>150383</v>
      </c>
      <c r="C26">
        <v>22111</v>
      </c>
      <c r="D26" s="5">
        <f>+C26/total_failed*otif_pct*10000</f>
        <v>15.358775465691606</v>
      </c>
    </row>
    <row r="27" spans="1:4" x14ac:dyDescent="0.55000000000000004">
      <c r="A27">
        <v>225</v>
      </c>
      <c r="B27">
        <v>127435</v>
      </c>
      <c r="C27">
        <v>20435</v>
      </c>
      <c r="D27" s="5">
        <f>+C27/total_failed*otif_pct*10000</f>
        <v>14.194589871168555</v>
      </c>
    </row>
    <row r="28" spans="1:4" x14ac:dyDescent="0.55000000000000004">
      <c r="A28">
        <v>19</v>
      </c>
      <c r="B28">
        <v>43818</v>
      </c>
      <c r="C28">
        <v>16130</v>
      </c>
      <c r="D28" s="5">
        <f>+C28/total_failed*otif_pct*10000</f>
        <v>11.204244415069676</v>
      </c>
    </row>
    <row r="29" spans="1:4" x14ac:dyDescent="0.55000000000000004">
      <c r="A29" t="s">
        <v>35</v>
      </c>
      <c r="B29">
        <v>120742</v>
      </c>
      <c r="C29">
        <v>13790</v>
      </c>
      <c r="D29" s="5">
        <f>+C29/total_failed*otif_pct*10000</f>
        <v>9.5788301601866586</v>
      </c>
    </row>
    <row r="30" spans="1:4" x14ac:dyDescent="0.55000000000000004">
      <c r="A30" t="s">
        <v>42</v>
      </c>
      <c r="B30">
        <v>152279</v>
      </c>
      <c r="C30">
        <v>12920</v>
      </c>
      <c r="D30" s="5">
        <f>+C30/total_failed*otif_pct*10000</f>
        <v>8.9745094756788699</v>
      </c>
    </row>
    <row r="31" spans="1:4" x14ac:dyDescent="0.55000000000000004">
      <c r="A31">
        <v>236</v>
      </c>
      <c r="B31">
        <v>47029</v>
      </c>
      <c r="C31">
        <v>12004</v>
      </c>
      <c r="D31" s="5">
        <f>+C31/total_failed*otif_pct*10000</f>
        <v>8.3382362032545796</v>
      </c>
    </row>
    <row r="32" spans="1:4" x14ac:dyDescent="0.55000000000000004">
      <c r="A32" t="s">
        <v>41</v>
      </c>
      <c r="B32">
        <v>84446</v>
      </c>
      <c r="C32">
        <v>11106</v>
      </c>
      <c r="D32" s="5">
        <f>+C32/total_failed*otif_pct*10000</f>
        <v>7.7144661174063121</v>
      </c>
    </row>
    <row r="33" spans="1:4" x14ac:dyDescent="0.55000000000000004">
      <c r="A33" t="s">
        <v>32</v>
      </c>
      <c r="B33">
        <v>56636</v>
      </c>
      <c r="C33">
        <v>10809</v>
      </c>
      <c r="D33" s="5">
        <f>+C33/total_failed*otif_pct*10000</f>
        <v>7.508163538901929</v>
      </c>
    </row>
    <row r="34" spans="1:4" x14ac:dyDescent="0.55000000000000004">
      <c r="A34">
        <v>180</v>
      </c>
      <c r="B34">
        <v>33589</v>
      </c>
      <c r="C34">
        <v>10624</v>
      </c>
      <c r="D34" s="5">
        <f>+C34/total_failed*otif_pct*10000</f>
        <v>7.3796585657594687</v>
      </c>
    </row>
    <row r="35" spans="1:4" x14ac:dyDescent="0.55000000000000004">
      <c r="A35">
        <v>273</v>
      </c>
      <c r="B35">
        <v>38419</v>
      </c>
      <c r="C35">
        <v>9027</v>
      </c>
      <c r="D35" s="5">
        <f>+C35/total_failed*otif_pct*10000</f>
        <v>6.2703480678756325</v>
      </c>
    </row>
    <row r="36" spans="1:4" x14ac:dyDescent="0.55000000000000004">
      <c r="A36">
        <v>18</v>
      </c>
      <c r="B36">
        <v>43376</v>
      </c>
      <c r="C36">
        <v>8831</v>
      </c>
      <c r="D36" s="5">
        <f>+C36/total_failed*otif_pct*10000</f>
        <v>6.1342022584922686</v>
      </c>
    </row>
    <row r="37" spans="1:4" x14ac:dyDescent="0.55000000000000004">
      <c r="A37">
        <v>148</v>
      </c>
      <c r="B37">
        <v>20002</v>
      </c>
      <c r="C37">
        <v>8073</v>
      </c>
      <c r="D37" s="5">
        <f>+C37/total_failed*otif_pct*10000</f>
        <v>5.6076791793464027</v>
      </c>
    </row>
    <row r="38" spans="1:4" x14ac:dyDescent="0.55000000000000004">
      <c r="A38" t="s">
        <v>47</v>
      </c>
      <c r="B38">
        <v>72904</v>
      </c>
      <c r="C38">
        <v>7985</v>
      </c>
      <c r="D38" s="5">
        <f>+C38/total_failed*otif_pct*10000</f>
        <v>5.5465524894191791</v>
      </c>
    </row>
    <row r="39" spans="1:4" x14ac:dyDescent="0.55000000000000004">
      <c r="A39" t="s">
        <v>44</v>
      </c>
      <c r="B39">
        <v>45421</v>
      </c>
      <c r="C39">
        <v>7631</v>
      </c>
      <c r="D39" s="5">
        <f>+C39/total_failed*otif_pct*10000</f>
        <v>5.3006564867573891</v>
      </c>
    </row>
    <row r="40" spans="1:4" x14ac:dyDescent="0.55000000000000004">
      <c r="A40" t="s">
        <v>46</v>
      </c>
      <c r="B40">
        <v>63357</v>
      </c>
      <c r="C40">
        <v>6822</v>
      </c>
      <c r="D40" s="5">
        <f>+C40/total_failed*otif_pct*10000</f>
        <v>4.7387077123127916</v>
      </c>
    </row>
    <row r="41" spans="1:4" x14ac:dyDescent="0.55000000000000004">
      <c r="A41" t="s">
        <v>45</v>
      </c>
      <c r="B41">
        <v>44359</v>
      </c>
      <c r="C41">
        <v>6271</v>
      </c>
      <c r="D41" s="5">
        <f>+C41/total_failed*otif_pct*10000</f>
        <v>4.3559712787911931</v>
      </c>
    </row>
    <row r="42" spans="1:4" x14ac:dyDescent="0.55000000000000004">
      <c r="A42" t="s">
        <v>48</v>
      </c>
      <c r="B42">
        <v>94180</v>
      </c>
      <c r="C42">
        <v>6235</v>
      </c>
      <c r="D42" s="5">
        <f>+C42/total_failed*otif_pct*10000</f>
        <v>4.3309649056391448</v>
      </c>
    </row>
    <row r="43" spans="1:4" x14ac:dyDescent="0.55000000000000004">
      <c r="A43" t="s">
        <v>39</v>
      </c>
      <c r="B43">
        <v>81264</v>
      </c>
      <c r="C43">
        <v>6109</v>
      </c>
      <c r="D43" s="5">
        <f>+C43/total_failed*otif_pct*10000</f>
        <v>4.2434425996069836</v>
      </c>
    </row>
    <row r="44" spans="1:4" x14ac:dyDescent="0.55000000000000004">
      <c r="A44" t="s">
        <v>38</v>
      </c>
      <c r="B44">
        <v>42049</v>
      </c>
      <c r="C44">
        <v>5498</v>
      </c>
      <c r="D44" s="5">
        <f>+C44/total_failed*otif_pct*10000</f>
        <v>3.8190288774986403</v>
      </c>
    </row>
    <row r="45" spans="1:4" x14ac:dyDescent="0.55000000000000004">
      <c r="A45" t="s">
        <v>49</v>
      </c>
      <c r="B45">
        <v>48160</v>
      </c>
      <c r="C45">
        <v>5368</v>
      </c>
      <c r="D45" s="5">
        <f>+C45/total_failed*otif_pct*10000</f>
        <v>3.7287280855606952</v>
      </c>
    </row>
    <row r="46" spans="1:4" x14ac:dyDescent="0.55000000000000004">
      <c r="A46" t="s">
        <v>37</v>
      </c>
      <c r="B46">
        <v>22485</v>
      </c>
      <c r="C46">
        <v>5350</v>
      </c>
      <c r="D46" s="5">
        <f>+C46/total_failed*otif_pct*10000</f>
        <v>3.7162248989846716</v>
      </c>
    </row>
    <row r="47" spans="1:4" x14ac:dyDescent="0.55000000000000004">
      <c r="A47">
        <v>246</v>
      </c>
      <c r="B47">
        <v>22336</v>
      </c>
      <c r="C47">
        <v>5064</v>
      </c>
      <c r="D47" s="5">
        <f>+C47/total_failed*otif_pct*10000</f>
        <v>3.5175631567211925</v>
      </c>
    </row>
    <row r="48" spans="1:4" x14ac:dyDescent="0.55000000000000004">
      <c r="A48">
        <v>233</v>
      </c>
      <c r="B48">
        <v>16115</v>
      </c>
      <c r="C48">
        <v>4808</v>
      </c>
      <c r="D48" s="5">
        <f>+C48/total_failed*otif_pct*10000</f>
        <v>3.3397400587510848</v>
      </c>
    </row>
    <row r="49" spans="1:4" x14ac:dyDescent="0.55000000000000004">
      <c r="A49" t="s">
        <v>54</v>
      </c>
      <c r="B49">
        <v>42881</v>
      </c>
      <c r="C49">
        <v>4801</v>
      </c>
      <c r="D49" s="5">
        <f>+C49/total_failed*otif_pct*10000</f>
        <v>3.3348777084159642</v>
      </c>
    </row>
    <row r="50" spans="1:4" x14ac:dyDescent="0.55000000000000004">
      <c r="A50" t="s">
        <v>56</v>
      </c>
      <c r="B50">
        <v>31859</v>
      </c>
      <c r="C50">
        <v>4761</v>
      </c>
      <c r="D50" s="5">
        <f>+C50/total_failed*otif_pct*10000</f>
        <v>3.3070928493581349</v>
      </c>
    </row>
    <row r="51" spans="1:4" x14ac:dyDescent="0.55000000000000004">
      <c r="A51" t="s">
        <v>51</v>
      </c>
      <c r="B51">
        <v>39396</v>
      </c>
      <c r="C51">
        <v>4652</v>
      </c>
      <c r="D51" s="5">
        <f>+C51/total_failed*otif_pct*10000</f>
        <v>3.2313791084255508</v>
      </c>
    </row>
    <row r="52" spans="1:4" x14ac:dyDescent="0.55000000000000004">
      <c r="A52" t="s">
        <v>52</v>
      </c>
      <c r="B52">
        <v>25834</v>
      </c>
      <c r="C52">
        <v>3639</v>
      </c>
      <c r="D52" s="5">
        <f>+C52/total_failed*otif_pct*10000</f>
        <v>2.5277275527860228</v>
      </c>
    </row>
    <row r="53" spans="1:4" x14ac:dyDescent="0.55000000000000004">
      <c r="A53" t="s">
        <v>50</v>
      </c>
      <c r="B53">
        <v>26000</v>
      </c>
      <c r="C53">
        <v>3440</v>
      </c>
      <c r="D53" s="5">
        <f>+C53/total_failed*otif_pct*10000</f>
        <v>2.3894978789733217</v>
      </c>
    </row>
    <row r="54" spans="1:4" x14ac:dyDescent="0.55000000000000004">
      <c r="A54" t="s">
        <v>36</v>
      </c>
      <c r="B54">
        <v>15483</v>
      </c>
      <c r="C54">
        <v>3096</v>
      </c>
      <c r="D54" s="5">
        <f>+C54/total_failed*otif_pct*10000</f>
        <v>2.1505480910759891</v>
      </c>
    </row>
    <row r="55" spans="1:4" x14ac:dyDescent="0.55000000000000004">
      <c r="A55" t="s">
        <v>55</v>
      </c>
      <c r="B55">
        <v>16056</v>
      </c>
      <c r="C55">
        <v>2927</v>
      </c>
      <c r="D55" s="5">
        <f>+C55/total_failed*otif_pct*10000</f>
        <v>2.0331570615566608</v>
      </c>
    </row>
    <row r="56" spans="1:4" x14ac:dyDescent="0.55000000000000004">
      <c r="A56" t="s">
        <v>57</v>
      </c>
      <c r="B56">
        <v>9030</v>
      </c>
      <c r="C56">
        <v>1921</v>
      </c>
      <c r="D56" s="5">
        <f>+C56/total_failed*otif_pct*10000</f>
        <v>1.3343678562522532</v>
      </c>
    </row>
    <row r="57" spans="1:4" x14ac:dyDescent="0.55000000000000004">
      <c r="A57" t="s">
        <v>59</v>
      </c>
      <c r="B57">
        <v>20036</v>
      </c>
      <c r="C57">
        <v>1815</v>
      </c>
      <c r="D57" s="5">
        <f>+C57/total_failed*otif_pct*10000</f>
        <v>1.2607379797490055</v>
      </c>
    </row>
    <row r="58" spans="1:4" x14ac:dyDescent="0.55000000000000004">
      <c r="A58" t="s">
        <v>34</v>
      </c>
      <c r="B58">
        <v>4882</v>
      </c>
      <c r="C58">
        <v>1813</v>
      </c>
      <c r="D58" s="5">
        <f>+C58/total_failed*otif_pct*10000</f>
        <v>1.2593487367961143</v>
      </c>
    </row>
    <row r="59" spans="1:4" x14ac:dyDescent="0.55000000000000004">
      <c r="A59" t="s">
        <v>53</v>
      </c>
      <c r="B59">
        <v>6559</v>
      </c>
      <c r="C59">
        <v>1763</v>
      </c>
      <c r="D59" s="5">
        <f>+C59/total_failed*otif_pct*10000</f>
        <v>1.2246176629738272</v>
      </c>
    </row>
    <row r="60" spans="1:4" x14ac:dyDescent="0.55000000000000004">
      <c r="A60">
        <v>72</v>
      </c>
      <c r="B60">
        <v>13371</v>
      </c>
      <c r="C60">
        <v>1762</v>
      </c>
      <c r="D60" s="5">
        <f>+C60/total_failed*otif_pct*10000</f>
        <v>1.2239230414973816</v>
      </c>
    </row>
    <row r="61" spans="1:4" x14ac:dyDescent="0.55000000000000004">
      <c r="A61" t="s">
        <v>58</v>
      </c>
      <c r="B61">
        <v>11645</v>
      </c>
      <c r="C61">
        <v>1528</v>
      </c>
      <c r="D61" s="5">
        <f>+C61/total_failed*otif_pct*10000</f>
        <v>1.0613816160090801</v>
      </c>
    </row>
    <row r="62" spans="1:4" x14ac:dyDescent="0.55000000000000004">
      <c r="A62">
        <v>238</v>
      </c>
      <c r="B62">
        <v>5010</v>
      </c>
      <c r="C62">
        <v>1497</v>
      </c>
      <c r="D62" s="5">
        <f>+C62/total_failed*otif_pct*10000</f>
        <v>1.0398483502392624</v>
      </c>
    </row>
    <row r="63" spans="1:4" x14ac:dyDescent="0.55000000000000004">
      <c r="A63">
        <v>41</v>
      </c>
      <c r="B63">
        <v>6520</v>
      </c>
      <c r="C63">
        <v>1453</v>
      </c>
      <c r="D63" s="5">
        <f>+C63/total_failed*otif_pct*10000</f>
        <v>1.0092850052756501</v>
      </c>
    </row>
    <row r="64" spans="1:4" x14ac:dyDescent="0.55000000000000004">
      <c r="A64">
        <v>17</v>
      </c>
      <c r="B64">
        <v>3625</v>
      </c>
      <c r="C64">
        <v>736</v>
      </c>
      <c r="D64" s="5">
        <f>+C64/total_failed*otif_pct*10000</f>
        <v>0.51124140666405948</v>
      </c>
    </row>
    <row r="65" spans="1:4" x14ac:dyDescent="0.55000000000000004">
      <c r="A65">
        <v>154</v>
      </c>
      <c r="B65">
        <v>1574</v>
      </c>
      <c r="C65">
        <v>359</v>
      </c>
      <c r="D65" s="5">
        <f>+C65/total_failed*otif_pct*10000</f>
        <v>0.24936911004401818</v>
      </c>
    </row>
    <row r="66" spans="1:4" x14ac:dyDescent="0.55000000000000004">
      <c r="A66">
        <v>39</v>
      </c>
      <c r="B66">
        <v>4308</v>
      </c>
      <c r="C66">
        <v>322</v>
      </c>
      <c r="D66" s="5">
        <f>+C66/total_failed*otif_pct*10000</f>
        <v>0.22366811541552606</v>
      </c>
    </row>
    <row r="67" spans="1:4" x14ac:dyDescent="0.55000000000000004">
      <c r="A67">
        <v>14</v>
      </c>
      <c r="B67">
        <v>1150</v>
      </c>
      <c r="C67">
        <v>261</v>
      </c>
      <c r="D67" s="5">
        <f>+C67/total_failed*otif_pct*10000</f>
        <v>0.18129620535233631</v>
      </c>
    </row>
    <row r="68" spans="1:4" x14ac:dyDescent="0.55000000000000004">
      <c r="A68">
        <v>26</v>
      </c>
      <c r="B68">
        <v>1487</v>
      </c>
      <c r="C68">
        <v>205</v>
      </c>
      <c r="D68" s="5">
        <f>+C68/total_failed*otif_pct*10000</f>
        <v>0.14239740267137527</v>
      </c>
    </row>
    <row r="69" spans="1:4" x14ac:dyDescent="0.55000000000000004">
      <c r="A69">
        <v>286</v>
      </c>
      <c r="B69">
        <v>801</v>
      </c>
      <c r="C69">
        <v>152</v>
      </c>
      <c r="D69" s="5">
        <f>+C69/total_failed*otif_pct*10000</f>
        <v>0.10558246441975143</v>
      </c>
    </row>
    <row r="70" spans="1:4" x14ac:dyDescent="0.55000000000000004">
      <c r="A70">
        <v>12</v>
      </c>
      <c r="B70">
        <v>499</v>
      </c>
      <c r="C70">
        <v>112</v>
      </c>
      <c r="D70" s="5">
        <f>+C70/total_failed*otif_pct*10000</f>
        <v>7.7797605361922095E-2</v>
      </c>
    </row>
    <row r="71" spans="1:4" x14ac:dyDescent="0.55000000000000004">
      <c r="A71">
        <v>55</v>
      </c>
      <c r="B71">
        <v>344</v>
      </c>
      <c r="C71">
        <v>42</v>
      </c>
      <c r="D71" s="5">
        <f>+C71/total_failed*otif_pct*10000</f>
        <v>2.9174102010720789E-2</v>
      </c>
    </row>
    <row r="72" spans="1:4" x14ac:dyDescent="0.55000000000000004">
      <c r="A72">
        <v>4</v>
      </c>
      <c r="B72">
        <v>148</v>
      </c>
      <c r="C72">
        <v>40</v>
      </c>
      <c r="D72" s="5">
        <f>+C72/total_failed*otif_pct*10000</f>
        <v>2.7784859057829323E-2</v>
      </c>
    </row>
    <row r="73" spans="1:4" x14ac:dyDescent="0.55000000000000004">
      <c r="A73">
        <v>294</v>
      </c>
      <c r="B73">
        <v>115</v>
      </c>
      <c r="C73">
        <v>36</v>
      </c>
      <c r="D73" s="5">
        <f>+C73/total_failed*otif_pct*10000</f>
        <v>2.5006373152046391E-2</v>
      </c>
    </row>
    <row r="74" spans="1:4" x14ac:dyDescent="0.55000000000000004">
      <c r="A74">
        <v>126</v>
      </c>
      <c r="B74">
        <v>256</v>
      </c>
      <c r="C74">
        <v>33</v>
      </c>
      <c r="D74" s="5">
        <f>+C74/total_failed*otif_pct*10000</f>
        <v>2.2922508722709196E-2</v>
      </c>
    </row>
    <row r="75" spans="1:4" x14ac:dyDescent="0.55000000000000004">
      <c r="A75">
        <v>158</v>
      </c>
      <c r="B75">
        <v>106</v>
      </c>
      <c r="C75">
        <v>23</v>
      </c>
      <c r="D75" s="5">
        <f>+C75/total_failed*otif_pct*10000</f>
        <v>1.5976293958251859E-2</v>
      </c>
    </row>
    <row r="76" spans="1:4" x14ac:dyDescent="0.55000000000000004">
      <c r="A76">
        <v>46</v>
      </c>
      <c r="B76">
        <v>76</v>
      </c>
      <c r="C76">
        <v>17</v>
      </c>
      <c r="D76" s="5">
        <f>+C76/total_failed*otif_pct*10000</f>
        <v>1.1808565099577463E-2</v>
      </c>
    </row>
    <row r="77" spans="1:4" x14ac:dyDescent="0.55000000000000004">
      <c r="A77">
        <v>133</v>
      </c>
      <c r="B77">
        <v>261</v>
      </c>
      <c r="C77">
        <v>16</v>
      </c>
      <c r="D77" s="5">
        <f>+C77/total_failed*otif_pct*10000</f>
        <v>1.1113943623131728E-2</v>
      </c>
    </row>
    <row r="78" spans="1:4" x14ac:dyDescent="0.55000000000000004">
      <c r="A78">
        <v>297</v>
      </c>
      <c r="B78">
        <v>127</v>
      </c>
      <c r="C78">
        <v>8</v>
      </c>
      <c r="D78" s="5">
        <f>+C78/total_failed*otif_pct*10000</f>
        <v>5.556971811565864E-3</v>
      </c>
    </row>
    <row r="79" spans="1:4" x14ac:dyDescent="0.55000000000000004">
      <c r="A79">
        <v>240</v>
      </c>
      <c r="B79">
        <v>282</v>
      </c>
      <c r="C79">
        <v>7</v>
      </c>
      <c r="D79" s="5">
        <f>+C79/total_failed*otif_pct*10000</f>
        <v>4.862350335120131E-3</v>
      </c>
    </row>
    <row r="80" spans="1:4" x14ac:dyDescent="0.55000000000000004">
      <c r="A80">
        <v>293</v>
      </c>
      <c r="B80">
        <v>141</v>
      </c>
      <c r="C80">
        <v>4</v>
      </c>
      <c r="D80" s="5">
        <f>+C80/total_failed*otif_pct*10000</f>
        <v>2.778485905782932E-3</v>
      </c>
    </row>
    <row r="81" spans="1:4" x14ac:dyDescent="0.55000000000000004">
      <c r="A81" t="s">
        <v>62</v>
      </c>
      <c r="B81">
        <v>4</v>
      </c>
      <c r="C81">
        <v>4</v>
      </c>
      <c r="D81" s="5">
        <f>+C81/total_failed*otif_pct*10000</f>
        <v>2.778485905782932E-3</v>
      </c>
    </row>
    <row r="82" spans="1:4" x14ac:dyDescent="0.55000000000000004">
      <c r="A82">
        <v>245</v>
      </c>
      <c r="B82">
        <v>3</v>
      </c>
      <c r="C82">
        <v>3</v>
      </c>
      <c r="D82" s="5">
        <f>+C82/total_failed*otif_pct*10000</f>
        <v>2.083864429337199E-3</v>
      </c>
    </row>
    <row r="83" spans="1:4" x14ac:dyDescent="0.55000000000000004">
      <c r="A83">
        <v>291</v>
      </c>
      <c r="B83">
        <v>16</v>
      </c>
      <c r="C83">
        <v>2</v>
      </c>
      <c r="D83" s="5">
        <f>+C83/total_failed*otif_pct*10000</f>
        <v>1.389242952891466E-3</v>
      </c>
    </row>
    <row r="84" spans="1:4" x14ac:dyDescent="0.55000000000000004">
      <c r="A84">
        <v>296</v>
      </c>
      <c r="B84">
        <v>49</v>
      </c>
      <c r="C84">
        <v>2</v>
      </c>
      <c r="D84" s="5">
        <f>+C84/total_failed*otif_pct*10000</f>
        <v>1.389242952891466E-3</v>
      </c>
    </row>
    <row r="85" spans="1:4" x14ac:dyDescent="0.55000000000000004">
      <c r="A85">
        <v>125</v>
      </c>
      <c r="B85">
        <v>7</v>
      </c>
      <c r="C85">
        <v>1</v>
      </c>
      <c r="D85" s="5">
        <f>+C85/total_failed*otif_pct*10000</f>
        <v>6.9462147644573299E-4</v>
      </c>
    </row>
    <row r="86" spans="1:4" x14ac:dyDescent="0.55000000000000004">
      <c r="A86">
        <v>138</v>
      </c>
      <c r="B86">
        <v>89</v>
      </c>
      <c r="C86">
        <v>1</v>
      </c>
      <c r="D86" s="5">
        <f>+C86/total_failed*otif_pct*10000</f>
        <v>6.9462147644573299E-4</v>
      </c>
    </row>
    <row r="87" spans="1:4" x14ac:dyDescent="0.55000000000000004">
      <c r="A87">
        <v>287</v>
      </c>
      <c r="B87">
        <v>25</v>
      </c>
      <c r="C87">
        <v>1</v>
      </c>
      <c r="D87" s="5">
        <f>+C87/total_failed*otif_pct*10000</f>
        <v>6.9462147644573299E-4</v>
      </c>
    </row>
    <row r="88" spans="1:4" x14ac:dyDescent="0.55000000000000004">
      <c r="A88">
        <v>136</v>
      </c>
      <c r="B88">
        <v>10</v>
      </c>
      <c r="C88">
        <v>0</v>
      </c>
      <c r="D88" s="5">
        <f>+C88/total_failed*otif_pct*10000</f>
        <v>0</v>
      </c>
    </row>
    <row r="89" spans="1:4" x14ac:dyDescent="0.55000000000000004">
      <c r="A89">
        <v>165</v>
      </c>
      <c r="B89">
        <v>1</v>
      </c>
      <c r="C89">
        <v>0</v>
      </c>
      <c r="D89" s="5">
        <f>+C89/total_failed*otif_pct*10000</f>
        <v>0</v>
      </c>
    </row>
    <row r="90" spans="1:4" x14ac:dyDescent="0.55000000000000004">
      <c r="A90">
        <v>290</v>
      </c>
      <c r="B90">
        <v>6</v>
      </c>
      <c r="C90">
        <v>0</v>
      </c>
      <c r="D90" s="5">
        <f>+C90/total_failed*otif_pct*10000</f>
        <v>0</v>
      </c>
    </row>
    <row r="91" spans="1:4" x14ac:dyDescent="0.55000000000000004">
      <c r="A91">
        <v>292</v>
      </c>
      <c r="B91">
        <v>15</v>
      </c>
      <c r="C91">
        <v>0</v>
      </c>
      <c r="D91" s="5">
        <f>+C91/total_failed*otif_pct*10000</f>
        <v>0</v>
      </c>
    </row>
    <row r="92" spans="1:4" x14ac:dyDescent="0.55000000000000004">
      <c r="A92">
        <v>8</v>
      </c>
      <c r="B92">
        <v>2</v>
      </c>
      <c r="C92">
        <v>0</v>
      </c>
      <c r="D92" s="5">
        <f>+C92/total_failed*otif_pct*10000</f>
        <v>0</v>
      </c>
    </row>
    <row r="93" spans="1:4" x14ac:dyDescent="0.55000000000000004">
      <c r="A93" t="s">
        <v>61</v>
      </c>
      <c r="B93">
        <v>1196576</v>
      </c>
      <c r="C93">
        <v>112201</v>
      </c>
      <c r="D93" s="5">
        <f>+C93/total_failed*otif_pct*10000</f>
        <v>77.937224278687694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ab8734f-e51d-4b5e-9a7a-351801de73c8}" enabled="1" method="Privileged" siteId="{fe99bbb3-bdc3-4260-998e-c28159c895a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wk02</vt:lpstr>
      <vt:lpstr>allwks</vt:lpstr>
      <vt:lpstr>otif_pct</vt:lpstr>
      <vt:lpstr>total_failed</vt:lpstr>
      <vt:lpstr>total_lines</vt:lpstr>
    </vt:vector>
  </TitlesOfParts>
  <Company>HD Supply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Pires, Pedro P</dc:creator>
  <cp:lastModifiedBy>Pires, Pedro P</cp:lastModifiedBy>
  <dcterms:created xsi:type="dcterms:W3CDTF">2026-02-18T16:04:08Z</dcterms:created>
  <dcterms:modified xsi:type="dcterms:W3CDTF">2026-02-18T18:06:23Z</dcterms:modified>
</cp:coreProperties>
</file>